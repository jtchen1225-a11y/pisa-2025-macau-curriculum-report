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總覽" sheetId="1" state="visible" r:id="rId1"/>
    <sheet xmlns:r="http://schemas.openxmlformats.org/officeDocument/2006/relationships" name="課程審計" sheetId="2" state="visible" r:id="rId2"/>
    <sheet xmlns:r="http://schemas.openxmlformats.org/officeDocument/2006/relationships" name="評核與作品" sheetId="3" state="visible" r:id="rId3"/>
    <sheet xmlns:r="http://schemas.openxmlformats.org/officeDocument/2006/relationships" name="行動計畫" sheetId="4" state="visible" r:id="rId4"/>
    <sheet xmlns:r="http://schemas.openxmlformats.org/officeDocument/2006/relationships" name="能力進階" sheetId="5" state="visible" r:id="rId5"/>
    <sheet xmlns:r="http://schemas.openxmlformats.org/officeDocument/2006/relationships" name="使用說明" sheetId="6" state="visible" r:id="rId6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1">
    <font>
      <name val="Carlito"/>
      <sz val="11"/>
    </font>
    <font>
      <name val="Arial"/>
      <color rgb="FF26343F"/>
      <sz val="10"/>
    </font>
    <font>
      <name val="Arial"/>
      <b val="1"/>
      <color rgb="FF173B57"/>
      <sz val="16"/>
    </font>
    <font>
      <name val="Arial"/>
      <b val="1"/>
      <color rgb="FFFFFFFF"/>
      <sz val="10"/>
    </font>
    <font>
      <name val="Arial"/>
      <b val="1"/>
      <color rgb="FF173B57"/>
      <sz val="12"/>
    </font>
    <font>
      <name val="Arial"/>
      <i val="1"/>
      <color rgb="FF596773"/>
      <sz val="10"/>
    </font>
    <font>
      <name val="Arial"/>
      <b val="1"/>
      <color rgb="FF173B57"/>
      <sz val="10"/>
    </font>
    <font>
      <name val="Arial"/>
      <color rgb="002D3748"/>
      <sz val="9.5"/>
    </font>
    <font>
      <name val="Arial"/>
      <b val="1"/>
      <color rgb="00173B57"/>
      <sz val="11"/>
    </font>
    <font>
      <name val="Arial"/>
      <b val="1"/>
      <color rgb="00FFFFFF"/>
      <sz val="10"/>
    </font>
    <font>
      <name val="Arial"/>
      <b val="1"/>
      <color rgb="002D3748"/>
      <sz val="9.5"/>
    </font>
  </fonts>
  <fills count="9">
    <fill>
      <patternFill/>
    </fill>
    <fill>
      <patternFill patternType="gray125"/>
    </fill>
    <fill>
      <patternFill patternType="solid">
        <fgColor rgb="FF173B57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00FFFDF0"/>
        <bgColor rgb="00FFFDF0"/>
      </patternFill>
    </fill>
    <fill>
      <patternFill patternType="solid">
        <fgColor rgb="00F0F4F8"/>
        <bgColor rgb="00F0F4F8"/>
      </patternFill>
    </fill>
    <fill>
      <patternFill patternType="solid">
        <fgColor rgb="00173B57"/>
        <bgColor rgb="00173B57"/>
      </patternFill>
    </fill>
    <fill>
      <patternFill patternType="solid">
        <fgColor rgb="00F8FAFC"/>
        <bgColor rgb="00F8FAFC"/>
      </patternFill>
    </fill>
  </fills>
  <borders count="18">
    <border/>
    <border>
      <bottom style="thin">
        <color rgb="FF9EABB4"/>
      </bottom>
    </border>
    <border>
      <right style="thin">
        <color rgb="FFFFFFFF"/>
      </right>
    </border>
    <border>
      <left style="thin">
        <color rgb="FFFFFFFF"/>
      </left>
    </border>
    <border>
      <left style="thin">
        <color rgb="FFB9C3CA"/>
      </left>
      <right style="thin">
        <color rgb="FFFFFFFF"/>
      </right>
      <top style="thin">
        <color rgb="FFB9C3CA"/>
      </top>
    </border>
    <border>
      <left style="thin">
        <color rgb="FFFFFFFF"/>
      </left>
      <right style="thin">
        <color rgb="FFB9C3CA"/>
      </right>
      <top style="thin">
        <color rgb="FFB9C3CA"/>
      </top>
    </border>
    <border>
      <left style="thin">
        <color rgb="FFB9C3CA"/>
      </left>
    </border>
    <border>
      <right style="thin">
        <color rgb="FFB9C3CA"/>
      </right>
    </border>
    <border>
      <left style="thin">
        <color rgb="FFB9C3CA"/>
      </left>
      <bottom style="thin">
        <color rgb="FFB9C3CA"/>
      </bottom>
    </border>
    <border>
      <right style="thin">
        <color rgb="FFB9C3CA"/>
      </right>
      <bottom style="thin">
        <color rgb="FFB9C3CA"/>
      </bottom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right style="thin">
        <color rgb="FFFFFFFF"/>
      </right>
      <top style="thin">
        <color rgb="FFB9C3CA"/>
      </top>
    </border>
    <border>
      <bottom style="thin">
        <color rgb="FFB9C3CA"/>
      </bottom>
    </border>
    <border>
      <bottom style="thin">
        <color rgb="FFD9E0E5"/>
      </bottom>
    </border>
    <border>
      <top style="thin">
        <color rgb="FFD9E0E5"/>
      </top>
      <bottom style="thin">
        <color rgb="FFD9E0E5"/>
      </bottom>
    </border>
    <border>
      <top style="thin">
        <color rgb="FFD9E0E5"/>
      </top>
      <bottom style="thin">
        <color rgb="FFB9C3CA"/>
      </bottom>
    </border>
    <border>
      <top style="thin">
        <color rgb="FFD9E0E5"/>
      </top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3" fillId="2" borderId="3" applyAlignment="1" pivotButton="0" quotePrefix="0" xfId="0">
      <alignment vertical="center"/>
    </xf>
    <xf numFmtId="0" fontId="3" fillId="2" borderId="2" applyAlignment="1" pivotButton="0" quotePrefix="0" xfId="0">
      <alignment vertical="center" wrapText="1"/>
    </xf>
    <xf numFmtId="0" fontId="3" fillId="2" borderId="3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vertical="center" wrapText="1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vertical="center"/>
    </xf>
    <xf numFmtId="0" fontId="1" fillId="0" borderId="9" applyAlignment="1" pivotButton="0" quotePrefix="0" xfId="0">
      <alignment vertical="center"/>
    </xf>
    <xf numFmtId="0" fontId="1" fillId="3" borderId="7" applyAlignment="1" pivotButton="0" quotePrefix="0" xfId="0">
      <alignment vertical="center"/>
    </xf>
    <xf numFmtId="0" fontId="1" fillId="3" borderId="9" applyAlignment="1" pivotButton="0" quotePrefix="0" xfId="0">
      <alignment vertical="center"/>
    </xf>
    <xf numFmtId="0" fontId="4" fillId="3" borderId="7" applyAlignment="1" pivotButton="0" quotePrefix="0" xfId="0">
      <alignment vertical="center"/>
    </xf>
    <xf numFmtId="0" fontId="4" fillId="3" borderId="9" applyAlignment="1" pivotButton="0" quotePrefix="0" xfId="0">
      <alignment vertical="center"/>
    </xf>
    <xf numFmtId="0" fontId="3" fillId="2" borderId="10" applyAlignment="1" pivotButton="0" quotePrefix="0" xfId="0">
      <alignment vertical="center"/>
    </xf>
    <xf numFmtId="0" fontId="3" fillId="2" borderId="10" applyAlignment="1" pivotButton="0" quotePrefix="0" xfId="0">
      <alignment vertical="center" wrapText="1"/>
    </xf>
    <xf numFmtId="0" fontId="3" fillId="2" borderId="10" applyAlignment="1" pivotButton="0" quotePrefix="0" xfId="0">
      <alignment horizontal="center" vertical="center" wrapText="1"/>
    </xf>
    <xf numFmtId="9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0" fontId="3" fillId="2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1" fontId="1" fillId="0" borderId="12" applyAlignment="1" pivotButton="0" quotePrefix="0" xfId="0">
      <alignment vertical="center"/>
    </xf>
    <xf numFmtId="0" fontId="1" fillId="0" borderId="6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9" fontId="1" fillId="0" borderId="0" applyAlignment="1" pivotButton="0" quotePrefix="0" xfId="0">
      <alignment vertical="center" wrapText="1"/>
    </xf>
    <xf numFmtId="0" fontId="1" fillId="0" borderId="7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0" fontId="1" fillId="0" borderId="8" applyAlignment="1" pivotButton="0" quotePrefix="0" xfId="0">
      <alignment vertical="center" wrapText="1"/>
    </xf>
    <xf numFmtId="0" fontId="1" fillId="0" borderId="12" applyAlignment="1" pivotButton="0" quotePrefix="0" xfId="0">
      <alignment vertical="center" wrapText="1"/>
    </xf>
    <xf numFmtId="1" fontId="1" fillId="0" borderId="12" applyAlignment="1" pivotButton="0" quotePrefix="0" xfId="0">
      <alignment vertical="center" wrapText="1"/>
    </xf>
    <xf numFmtId="0" fontId="1" fillId="0" borderId="9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14" applyAlignment="1" pivotButton="0" quotePrefix="0" xfId="0">
      <alignment vertical="center"/>
    </xf>
    <xf numFmtId="0" fontId="1" fillId="0" borderId="15" applyAlignment="1" pivotButton="0" quotePrefix="0" xfId="0">
      <alignment vertical="center"/>
    </xf>
    <xf numFmtId="0" fontId="1" fillId="0" borderId="13" applyAlignment="1" pivotButton="0" quotePrefix="0" xfId="0">
      <alignment vertical="center" wrapText="1"/>
    </xf>
    <xf numFmtId="0" fontId="1" fillId="0" borderId="14" applyAlignment="1" pivotButton="0" quotePrefix="0" xfId="0">
      <alignment vertical="center" wrapText="1"/>
    </xf>
    <xf numFmtId="0" fontId="1" fillId="0" borderId="15" applyAlignment="1" pivotButton="0" quotePrefix="0" xfId="0">
      <alignment vertical="center" wrapText="1"/>
    </xf>
    <xf numFmtId="0" fontId="1" fillId="4" borderId="13" applyAlignment="1" pivotButton="0" quotePrefix="0" xfId="0">
      <alignment vertical="center" wrapText="1"/>
    </xf>
    <xf numFmtId="0" fontId="1" fillId="4" borderId="14" applyAlignment="1" pivotButton="0" quotePrefix="0" xfId="0">
      <alignment vertical="center" wrapText="1"/>
    </xf>
    <xf numFmtId="0" fontId="1" fillId="4" borderId="15" applyAlignment="1" pivotButton="0" quotePrefix="0" xfId="0">
      <alignment vertical="center" wrapText="1"/>
    </xf>
    <xf numFmtId="0" fontId="1" fillId="3" borderId="13" applyAlignment="1" pivotButton="0" quotePrefix="0" xfId="0">
      <alignment vertical="center" wrapText="1"/>
    </xf>
    <xf numFmtId="0" fontId="1" fillId="3" borderId="14" applyAlignment="1" pivotButton="0" quotePrefix="0" xfId="0">
      <alignment vertical="center" wrapText="1"/>
    </xf>
    <xf numFmtId="0" fontId="1" fillId="3" borderId="15" applyAlignment="1" pivotButton="0" quotePrefix="0" xfId="0">
      <alignment vertical="center" wrapText="1"/>
    </xf>
    <xf numFmtId="164" fontId="1" fillId="4" borderId="13" applyAlignment="1" pivotButton="0" quotePrefix="0" xfId="0">
      <alignment vertical="center" wrapText="1"/>
    </xf>
    <xf numFmtId="164" fontId="1" fillId="4" borderId="14" applyAlignment="1" pivotButton="0" quotePrefix="0" xfId="0">
      <alignment vertical="center" wrapText="1"/>
    </xf>
    <xf numFmtId="164" fontId="1" fillId="4" borderId="15" applyAlignment="1" pivotButton="0" quotePrefix="0" xfId="0">
      <alignment vertical="center" wrapText="1"/>
    </xf>
    <xf numFmtId="0" fontId="1" fillId="4" borderId="0" applyAlignment="1" pivotButton="0" quotePrefix="0" xfId="0">
      <alignment vertical="center"/>
    </xf>
    <xf numFmtId="0" fontId="1" fillId="4" borderId="13" applyAlignment="1" pivotButton="0" quotePrefix="0" xfId="0">
      <alignment vertical="center"/>
    </xf>
    <xf numFmtId="0" fontId="1" fillId="4" borderId="14" applyAlignment="1" pivotButton="0" quotePrefix="0" xfId="0">
      <alignment vertical="center"/>
    </xf>
    <xf numFmtId="0" fontId="1" fillId="0" borderId="16" applyAlignment="1" pivotButton="0" quotePrefix="0" xfId="0">
      <alignment vertical="center"/>
    </xf>
    <xf numFmtId="0" fontId="1" fillId="4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1" fillId="4" borderId="16" applyAlignment="1" pivotButton="0" quotePrefix="0" xfId="0">
      <alignment vertical="center" wrapText="1"/>
    </xf>
    <xf numFmtId="164" fontId="1" fillId="4" borderId="16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49" fontId="1" fillId="3" borderId="0" applyAlignment="1" pivotButton="0" quotePrefix="0" xfId="0">
      <alignment vertical="center"/>
    </xf>
    <xf numFmtId="49" fontId="1" fillId="3" borderId="13" applyAlignment="1" pivotButton="0" quotePrefix="0" xfId="0">
      <alignment vertical="center"/>
    </xf>
    <xf numFmtId="49" fontId="1" fillId="3" borderId="14" applyAlignment="1" pivotButton="0" quotePrefix="0" xfId="0">
      <alignment vertical="center"/>
    </xf>
    <xf numFmtId="49" fontId="1" fillId="3" borderId="16" applyAlignment="1" pivotButton="0" quotePrefix="0" xfId="0">
      <alignment vertical="center"/>
    </xf>
    <xf numFmtId="49" fontId="1" fillId="3" borderId="13" applyAlignment="1" pivotButton="0" quotePrefix="0" xfId="0">
      <alignment vertical="center" wrapText="1"/>
    </xf>
    <xf numFmtId="49" fontId="1" fillId="3" borderId="14" applyAlignment="1" pivotButton="0" quotePrefix="0" xfId="0">
      <alignment vertical="center" wrapText="1"/>
    </xf>
    <xf numFmtId="49" fontId="1" fillId="3" borderId="16" applyAlignment="1" pivotButton="0" quotePrefix="0" xfId="0">
      <alignment vertical="center" wrapText="1"/>
    </xf>
    <xf numFmtId="0" fontId="1" fillId="3" borderId="6" applyAlignment="1" pivotButton="0" quotePrefix="0" xfId="0">
      <alignment vertical="center" wrapText="1"/>
    </xf>
    <xf numFmtId="0" fontId="1" fillId="3" borderId="8" applyAlignment="1" pivotButton="0" quotePrefix="0" xfId="0">
      <alignment vertical="center" wrapText="1"/>
    </xf>
    <xf numFmtId="0" fontId="6" fillId="3" borderId="6" applyAlignment="1" pivotButton="0" quotePrefix="0" xfId="0">
      <alignment vertical="center" wrapText="1"/>
    </xf>
    <xf numFmtId="0" fontId="6" fillId="3" borderId="8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1" fontId="1" fillId="0" borderId="12" applyAlignment="1" pivotButton="0" quotePrefix="0" xfId="0">
      <alignment vertical="center" wrapText="1"/>
    </xf>
    <xf numFmtId="0" fontId="8" fillId="0" borderId="0" pivotButton="0" quotePrefix="0" xfId="0"/>
    <xf numFmtId="0" fontId="9" fillId="7" borderId="17" applyAlignment="1" pivotButton="0" quotePrefix="0" xfId="0">
      <alignment horizontal="center" vertical="center" wrapText="1"/>
    </xf>
    <xf numFmtId="0" fontId="10" fillId="0" borderId="17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 wrapText="1"/>
    </xf>
    <xf numFmtId="165" fontId="7" fillId="0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center" vertical="center" wrapText="1"/>
    </xf>
    <xf numFmtId="0" fontId="7" fillId="8" borderId="17" applyAlignment="1" pivotButton="0" quotePrefix="0" xfId="0">
      <alignment horizontal="center" vertical="center" wrapText="1"/>
    </xf>
    <xf numFmtId="165" fontId="7" fillId="8" borderId="17" applyAlignment="1" pivotButton="0" quotePrefix="0" xfId="0">
      <alignment horizontal="center" vertical="center" wrapText="1"/>
    </xf>
    <xf numFmtId="0" fontId="7" fillId="4" borderId="17" applyAlignment="1" pivotButton="0" quotePrefix="0" xfId="0">
      <alignment horizontal="center" vertical="center" wrapText="1"/>
    </xf>
    <xf numFmtId="0" fontId="7" fillId="4" borderId="17" applyAlignment="1" pivotButton="0" quotePrefix="0" xfId="0">
      <alignment horizontal="left" vertical="center" wrapText="1"/>
    </xf>
    <xf numFmtId="0" fontId="7" fillId="5" borderId="17" applyAlignment="1" pivotButton="0" quotePrefix="0" xfId="0">
      <alignment horizontal="center" vertical="center" wrapText="1"/>
    </xf>
    <xf numFmtId="0" fontId="7" fillId="6" borderId="17" applyAlignment="1" pivotButton="0" quotePrefix="0" xfId="0">
      <alignment horizontal="center" vertical="center" wrapText="1"/>
    </xf>
    <xf numFmtId="164" fontId="1" fillId="4" borderId="13" applyAlignment="1" pivotButton="0" quotePrefix="0" xfId="0">
      <alignment vertical="center" wrapText="1"/>
    </xf>
    <xf numFmtId="164" fontId="1" fillId="4" borderId="14" applyAlignment="1" pivotButton="0" quotePrefix="0" xfId="0">
      <alignment vertical="center" wrapText="1"/>
    </xf>
    <xf numFmtId="164" fontId="1" fillId="4" borderId="15" applyAlignment="1" pivotButton="0" quotePrefix="0" xfId="0">
      <alignment vertical="center" wrapText="1"/>
    </xf>
    <xf numFmtId="164" fontId="1" fillId="4" borderId="16" applyAlignment="1" pivotButton="0" quotePrefix="0" xfId="0">
      <alignment vertical="center" wrapText="1"/>
    </xf>
    <xf numFmtId="164" fontId="7" fillId="4" borderId="17" applyAlignment="1" pivotButton="0" quotePrefix="0" xfId="0">
      <alignment horizontal="center" vertical="center" wrapText="1"/>
    </xf>
    <xf numFmtId="49" fontId="1" fillId="3" borderId="13" applyAlignment="1" pivotButton="0" quotePrefix="0" xfId="0">
      <alignment vertical="center" wrapText="1"/>
    </xf>
    <xf numFmtId="49" fontId="1" fillId="3" borderId="14" applyAlignment="1" pivotButton="0" quotePrefix="0" xfId="0">
      <alignment vertical="center" wrapText="1"/>
    </xf>
    <xf numFmtId="49" fontId="1" fillId="3" borderId="16" applyAlignment="1" pivotButton="0" quotePrefix="0" xfId="0">
      <alignment vertical="center" wrapText="1"/>
    </xf>
    <xf numFmtId="0" fontId="7" fillId="8" borderId="17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left" vertical="center" wrapText="1"/>
    </xf>
  </cellXfs>
  <cellStyles count="1">
    <cellStyle name="Normal" xfId="0"/>
  </cellStyles>
  <dxfs count="9">
    <dxf>
      <font>
        <b val="1"/>
        <color rgb="FFB94747"/>
      </font>
      <fill>
        <patternFill patternType="solid">
          <bgColor rgb="FFFCE4D6"/>
        </patternFill>
      </fill>
    </dxf>
    <dxf>
      <font>
        <b val="1"/>
        <color rgb="FF8A5A00"/>
      </font>
      <fill>
        <patternFill patternType="solid">
          <bgColor rgb="FFFFF2CC"/>
        </patternFill>
      </fill>
    </dxf>
    <dxf>
      <font>
        <b val="1"/>
        <color rgb="FF2D7C69"/>
      </font>
      <fill>
        <patternFill patternType="solid">
          <bgColor rgb="FFE2F0D9"/>
        </patternFill>
      </fill>
    </dxf>
    <dxf>
      <font>
        <b val="1"/>
        <color rgb="FFB94747"/>
      </font>
      <fill>
        <patternFill patternType="solid">
          <bgColor rgb="FFFCE4D6"/>
        </patternFill>
      </fill>
    </dxf>
    <dxf>
      <font>
        <b val="1"/>
        <color rgb="FFB94747"/>
      </font>
      <fill>
        <patternFill patternType="solid">
          <bgColor rgb="FFFCE4D6"/>
        </patternFill>
      </fill>
    </dxf>
    <dxf>
      <font>
        <b val="1"/>
        <color rgb="FF2D7C69"/>
      </font>
      <fill>
        <patternFill patternType="solid">
          <bgColor rgb="FFE2F0D9"/>
        </patternFill>
      </fill>
    </dxf>
    <dxf>
      <font>
        <b val="1"/>
        <color rgb="FFB94747"/>
      </font>
      <fill>
        <patternFill patternType="solid">
          <bgColor rgb="FFFCE4D6"/>
        </patternFill>
      </fill>
    </dxf>
    <dxf>
      <font>
        <b val="1"/>
        <color rgb="FF2D7C69"/>
      </font>
      <fill>
        <patternFill patternType="solid">
          <bgColor rgb="FFE2F0D9"/>
        </patternFill>
      </fill>
    </dxf>
    <dxf>
      <font>
        <b val="1"/>
        <color rgb="FF596773"/>
      </font>
      <fill>
        <patternFill patternType="solid">
          <bgColor rgb="FFE7EBE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課程審計狀態分布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項目數</v>
          </tx>
          <spPr>
            <a:ln xmlns:a="http://schemas.openxmlformats.org/drawingml/2006/main">
              <a:prstDash val="solid"/>
            </a:ln>
          </spPr>
          <cat>
            <strRef>
              <f>'總覽'!$D$6:$D$9</f>
              <strCache>
                <ptCount val="0"/>
              </strCache>
            </strRef>
          </cat>
          <val>
            <numRef>
              <f>'總覽'!$E$6:$E$9</f>
              <numCache>
                <formatCode>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4</row>
      <rowOff>0</rowOff>
    </from>
    <to>
      <col>14</col>
      <colOff>0</colOff>
      <row>19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urriculumAuditTable" displayName="CurriculumAuditTable" ref="A5:O245" headerRowCount="1" totalsRowCount="0" totalsRowShown="0">
  <tableColumns count="15">
    <tableColumn id="1" name="編號"/>
    <tableColumn id="2" name="學段"/>
    <tableColumn id="3" name="年級"/>
    <tableColumn id="4" name="科組"/>
    <tableColumn id="5" name="共同能力"/>
    <tableColumn id="6" name="審計焦點"/>
    <tableColumn id="7" name="證據類型"/>
    <tableColumn id="8" name="落實狀態"/>
    <tableColumn id="9" name="分數"/>
    <tableColumn id="10" name="優先級"/>
    <tableColumn id="11" name="證據位置／連結"/>
    <tableColumn id="12" name="缺口描述"/>
    <tableColumn id="13" name="改進行動"/>
    <tableColumn id="14" name="負責人"/>
    <tableColumn id="15" name="完成日期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videnceTable" displayName="EvidenceTable" ref="A5:L125" headerRowCount="1" totalsRowCount="0" totalsRowShown="0">
  <tableColumns count="12">
    <tableColumn id="1" name="記錄編號"/>
    <tableColumn id="2" name="年級"/>
    <tableColumn id="3" name="科組"/>
    <tableColumn id="4" name="單元／任務"/>
    <tableColumn id="5" name="作品代碼"/>
    <tableColumn id="6" name="證據重點"/>
    <tableColumn id="7" name="表現水平"/>
    <tableColumn id="8" name="AI 使用方式"/>
    <tableColumn id="9" name="驗證證據"/>
    <tableColumn id="10" name="共同評閱狀態"/>
    <tableColumn id="11" name="後續行動"/>
    <tableColumn id="12" name="檢視日期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ActionPlanTable" displayName="ActionPlanTable" ref="A5:M85" headerRowCount="1" totalsRowCount="0" totalsRowShown="0">
  <tableColumns count="13">
    <tableColumn id="1" name="行動編號"/>
    <tableColumn id="2" name="來源審計編號"/>
    <tableColumn id="3" name="年級／科組"/>
    <tableColumn id="4" name="改進行動"/>
    <tableColumn id="5" name="負責人"/>
    <tableColumn id="6" name="開始日期"/>
    <tableColumn id="7" name="完成日期"/>
    <tableColumn id="8" name="狀態"/>
    <tableColumn id="9" name="成功指標"/>
    <tableColumn id="10" name="基線"/>
    <tableColumn id="11" name="目標"/>
    <tableColumn id="12" name="檢視紀錄"/>
    <tableColumn id="13" name="逾期標記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tabColor rgb="FF173B57"/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PISA 2025 校本課程審計總覽（全校與學科儀表板）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A5" s="13" t="inlineStr">
        <is>
          <t>指標</t>
        </is>
      </c>
      <c r="B5" s="14" t="inlineStr">
        <is>
          <t>目前數值</t>
        </is>
      </c>
      <c r="C5" s="2" t="n"/>
      <c r="D5" s="13" t="inlineStr">
        <is>
          <t>落實狀態</t>
        </is>
      </c>
      <c r="E5" s="14" t="inlineStr">
        <is>
          <t>項目數</t>
        </is>
      </c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15" t="inlineStr">
        <is>
          <t>審計項目數</t>
        </is>
      </c>
      <c r="B6" s="21">
        <f>COUNTA('課程審計'!$A$6:$A$245)</f>
        <v/>
      </c>
      <c r="C6" s="2" t="n"/>
      <c r="D6" s="15" t="inlineStr">
        <is>
          <t>未檢視</t>
        </is>
      </c>
      <c r="E6" s="16">
        <f>COUNTIF('課程審計'!$H$6:$H$245,D6)</f>
        <v/>
      </c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15" t="inlineStr">
        <is>
          <t>已完成判斷</t>
        </is>
      </c>
      <c r="B7" s="21">
        <f>COUNTIF('課程審計'!$H$6:$H$245,"未出現")+COUNTIF('課程審計'!$H$6:$H$245,"部分出現")+COUNTIF('課程審計'!$H$6:$H$245,"穩定出現")</f>
        <v/>
      </c>
      <c r="C7" s="2" t="n"/>
      <c r="D7" s="15" t="inlineStr">
        <is>
          <t>未出現</t>
        </is>
      </c>
      <c r="E7" s="16">
        <f>COUNTIF('課程審計'!$H$6:$H$245,D7)</f>
        <v/>
      </c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15" t="inlineStr">
        <is>
          <t>穩定出現</t>
        </is>
      </c>
      <c r="B8" s="21">
        <f>COUNTIF('課程審計'!$H$6:$H$245,"穩定出現")</f>
        <v/>
      </c>
      <c r="C8" s="2" t="n"/>
      <c r="D8" s="15" t="inlineStr">
        <is>
          <t>部分出現</t>
        </is>
      </c>
      <c r="E8" s="16">
        <f>COUNTIF('課程審計'!$H$6:$H$245,D8)</f>
        <v/>
      </c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17" t="inlineStr">
        <is>
          <t>高優先級缺口</t>
        </is>
      </c>
      <c r="B9" s="22">
        <f>COUNTIF('課程審計'!$J$6:$J$245,"高")</f>
        <v/>
      </c>
      <c r="C9" s="2" t="n"/>
      <c r="D9" s="17" t="inlineStr">
        <is>
          <t>穩定出現</t>
        </is>
      </c>
      <c r="E9" s="18">
        <f>COUNTIF('課程審計'!$H$6:$H$245,D9)</f>
        <v/>
      </c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13" t="inlineStr">
        <is>
          <t>行政檢視</t>
        </is>
      </c>
      <c r="B12" s="28" t="inlineStr">
        <is>
          <t>公式／判斷</t>
        </is>
      </c>
      <c r="C12" s="28" t="inlineStr">
        <is>
          <t>本期結果</t>
        </is>
      </c>
      <c r="D12" s="28" t="inlineStr">
        <is>
          <t>需要行動時的處理</t>
        </is>
      </c>
      <c r="E12" s="14" t="inlineStr">
        <is>
          <t>負責人</t>
        </is>
      </c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31" t="inlineStr">
        <is>
          <t>審計完成率</t>
        </is>
      </c>
      <c r="B13" s="32" t="inlineStr">
        <is>
          <t>已完成判斷 ÷ 審計項目</t>
        </is>
      </c>
      <c r="C13" s="76">
        <f>IF(B6=0,0,B7/B6)</f>
        <v/>
      </c>
      <c r="D13" s="32" t="inlineStr">
        <is>
          <t>低於校訂目標時安排補填</t>
        </is>
      </c>
      <c r="E13" s="34" t="inlineStr">
        <is>
          <t>課程領導小組</t>
        </is>
      </c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31" t="inlineStr">
        <is>
          <t>穩定落實率</t>
        </is>
      </c>
      <c r="B14" s="32" t="inlineStr">
        <is>
          <t>穩定出現 ÷ 審計項目</t>
        </is>
      </c>
      <c r="C14" s="76">
        <f>IF(B6=0,0,B8/B6)</f>
        <v/>
      </c>
      <c r="D14" s="32" t="inlineStr">
        <is>
          <t>選取缺口最大的年級段支援</t>
        </is>
      </c>
      <c r="E14" s="34" t="inlineStr">
        <is>
          <t>課程統籌</t>
        </is>
      </c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31" t="inlineStr">
        <is>
          <t>高優先級缺口</t>
        </is>
      </c>
      <c r="B15" s="32" t="inlineStr">
        <is>
          <t>優先級為高的項目數</t>
        </is>
      </c>
      <c r="C15" s="77">
        <f>B9</f>
        <v/>
      </c>
      <c r="D15" s="32" t="inlineStr">
        <is>
          <t>確認負責人與完成日期</t>
        </is>
      </c>
      <c r="E15" s="34" t="inlineStr">
        <is>
          <t>科組主管</t>
        </is>
      </c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31" t="inlineStr">
        <is>
          <t>學生作品已調適</t>
        </is>
      </c>
      <c r="B16" s="32" t="inlineStr">
        <is>
          <t>評核與作品表中已完成共同評閱</t>
        </is>
      </c>
      <c r="C16" s="77">
        <f>COUNTIF('評核與作品'!$J$6:$J$125,"已完成")</f>
        <v/>
      </c>
      <c r="D16" s="32" t="inlineStr">
        <is>
          <t>安排共同評分或評核修訂</t>
        </is>
      </c>
      <c r="E16" s="34" t="inlineStr">
        <is>
          <t>評核統籌</t>
        </is>
      </c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36" t="inlineStr">
        <is>
          <t>行動逾期</t>
        </is>
      </c>
      <c r="B17" s="37" t="inlineStr">
        <is>
          <t>完成日期早於今天且未完成</t>
        </is>
      </c>
      <c r="C17" s="78">
        <f>COUNTIF('行動計畫'!$H$6:$H$85,"逾期")</f>
        <v/>
      </c>
      <c r="D17" s="37" t="inlineStr">
        <is>
          <t>行政會議跟進</t>
        </is>
      </c>
      <c r="E17" s="39" t="inlineStr">
        <is>
          <t>行政牽頭人</t>
        </is>
      </c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40" t="inlineStr">
        <is>
          <t>填寫次序：課程審計 → 評核與作品 → 行動計畫。總覽會自動更新。</t>
        </is>
      </c>
      <c r="B20" s="40" t="n"/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  <c r="L20" s="40" t="n"/>
      <c r="M20" s="40" t="n"/>
      <c r="N20" s="40" t="n"/>
    </row>
    <row r="22">
      <c r="A22" s="79" t="inlineStr">
        <is>
          <t>各學科組落實進度與缺口分析 (Subject Panel Breakdown)</t>
        </is>
      </c>
    </row>
    <row r="24">
      <c r="A24" s="80" t="inlineStr">
        <is>
          <t>科組名稱</t>
        </is>
      </c>
      <c r="B24" s="80" t="inlineStr">
        <is>
          <t>審計項目數</t>
        </is>
      </c>
      <c r="C24" s="80" t="inlineStr">
        <is>
          <t>已檢視判斷數</t>
        </is>
      </c>
      <c r="D24" s="80" t="inlineStr">
        <is>
          <t>穩定出現數</t>
        </is>
      </c>
      <c r="E24" s="80" t="inlineStr">
        <is>
          <t>高優先級缺口</t>
        </is>
      </c>
      <c r="F24" s="80" t="inlineStr">
        <is>
          <t>審計完成率</t>
        </is>
      </c>
      <c r="G24" s="80" t="inlineStr">
        <is>
          <t>穩定落實率</t>
        </is>
      </c>
    </row>
    <row r="25">
      <c r="A25" s="81" t="inlineStr">
        <is>
          <t>中文科</t>
        </is>
      </c>
      <c r="B25" s="82">
        <f>COUNTA('課程審計'!$A$6:$A$53)</f>
        <v/>
      </c>
      <c r="C25" s="82">
        <f>COUNTIF('課程審計'!$H$6:$H$53,"未出現")+COUNTIF('課程審計'!$H$6:$H$53,"部分出現")+COUNTIF('課程審計'!$H$6:$H$53,"穩定出現")</f>
        <v/>
      </c>
      <c r="D25" s="82">
        <f>COUNTIF('課程審計'!$H$6:$H$53,"穩定出現")</f>
        <v/>
      </c>
      <c r="E25" s="82">
        <f>COUNTIF('課程審計'!$J$6:$J$53,"高")</f>
        <v/>
      </c>
      <c r="F25" s="83">
        <f>IF(B25=0,0,C25/B25)</f>
        <v/>
      </c>
      <c r="G25" s="83">
        <f>IF(B25=0,0,D25/B25)</f>
        <v/>
      </c>
    </row>
    <row r="26">
      <c r="A26" s="84" t="inlineStr">
        <is>
          <t>英文科</t>
        </is>
      </c>
      <c r="B26" s="85">
        <f>COUNTA('課程審計'!$A$54:$A$101)</f>
        <v/>
      </c>
      <c r="C26" s="85">
        <f>COUNTIF('課程審計'!$H$54:$H$101,"未出現")+COUNTIF('課程審計'!$H$54:$H$101,"部分出現")+COUNTIF('課程審計'!$H$54:$H$101,"穩定出現")</f>
        <v/>
      </c>
      <c r="D26" s="85">
        <f>COUNTIF('課程審計'!$H$54:$H$101,"穩定出現")</f>
        <v/>
      </c>
      <c r="E26" s="85">
        <f>COUNTIF('課程審計'!$J$54:$J$101,"高")</f>
        <v/>
      </c>
      <c r="F26" s="86">
        <f>IF(B26=0,0,C26/B26)</f>
        <v/>
      </c>
      <c r="G26" s="86">
        <f>IF(B26=0,0,D26/B26)</f>
        <v/>
      </c>
    </row>
    <row r="27">
      <c r="A27" s="81" t="inlineStr">
        <is>
          <t>數學科</t>
        </is>
      </c>
      <c r="B27" s="82">
        <f>COUNTA('課程審計'!$A$102:$A$149)</f>
        <v/>
      </c>
      <c r="C27" s="82">
        <f>COUNTIF('課程審計'!$H$102:$H$149,"未出現")+COUNTIF('課程審計'!$H$102:$H$149,"部分出現")+COUNTIF('課程審計'!$H$102:$H$149,"穩定出現")</f>
        <v/>
      </c>
      <c r="D27" s="82">
        <f>COUNTIF('課程審計'!$H$102:$H$149,"穩定出現")</f>
        <v/>
      </c>
      <c r="E27" s="82">
        <f>COUNTIF('課程審計'!$J$102:$J$149,"高")</f>
        <v/>
      </c>
      <c r="F27" s="83">
        <f>IF(B27=0,0,C27/B27)</f>
        <v/>
      </c>
      <c r="G27" s="83">
        <f>IF(B27=0,0,D27/B27)</f>
        <v/>
      </c>
    </row>
    <row r="28">
      <c r="A28" s="84" t="inlineStr">
        <is>
          <t>科學科</t>
        </is>
      </c>
      <c r="B28" s="85">
        <f>COUNTA('課程審計'!$A$150:$A$197)</f>
        <v/>
      </c>
      <c r="C28" s="85">
        <f>COUNTIF('課程審計'!$H$150:$H$197,"未出現")+COUNTIF('課程審計'!$H$150:$H$197,"部分出現")+COUNTIF('課程審計'!$H$150:$H$197,"穩定出現")</f>
        <v/>
      </c>
      <c r="D28" s="85">
        <f>COUNTIF('課程審計'!$H$150:$H$197,"穩定出現")</f>
        <v/>
      </c>
      <c r="E28" s="85">
        <f>COUNTIF('課程審計'!$J$150:$J$197,"高")</f>
        <v/>
      </c>
      <c r="F28" s="86">
        <f>IF(B28=0,0,C28/B28)</f>
        <v/>
      </c>
      <c r="G28" s="86">
        <f>IF(B28=0,0,D28/B28)</f>
        <v/>
      </c>
    </row>
    <row r="29">
      <c r="A29" s="81" t="inlineStr">
        <is>
          <t>資訊科技科</t>
        </is>
      </c>
      <c r="B29" s="82">
        <f>COUNTA('課程審計'!$A$198:$A$245)</f>
        <v/>
      </c>
      <c r="C29" s="82">
        <f>COUNTIF('課程審計'!$H$198:$H$245,"未出現")+COUNTIF('課程審計'!$H$198:$H$245,"部分出現")+COUNTIF('課程審計'!$H$198:$H$245,"穩定出現")</f>
        <v/>
      </c>
      <c r="D29" s="82">
        <f>COUNTIF('課程審計'!$H$198:$H$245,"穩定出現")</f>
        <v/>
      </c>
      <c r="E29" s="82">
        <f>COUNTIF('課程審計'!$J$198:$J$245,"高")</f>
        <v/>
      </c>
      <c r="F29" s="83">
        <f>IF(B29=0,0,C29/B29)</f>
        <v/>
      </c>
      <c r="G29" s="83">
        <f>IF(B29=0,0,D29/B29)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C6E91"/>
    <outlinePr summaryBelow="1" summaryRight="1"/>
    <pageSetUpPr/>
  </sheetPr>
  <dimension ref="A1:O24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14" customWidth="1" min="4" max="4"/>
    <col width="16" customWidth="1" min="5" max="5"/>
    <col width="50" customWidth="1" min="6" max="6"/>
    <col width="38" customWidth="1" min="7" max="7"/>
    <col width="14" customWidth="1" min="8" max="8"/>
    <col width="10" customWidth="1" min="9" max="9"/>
    <col width="10" customWidth="1" min="10" max="10"/>
    <col width="24" customWidth="1" min="11" max="11"/>
    <col width="30" customWidth="1" min="12" max="12"/>
    <col width="30" customWidth="1" min="13" max="13"/>
    <col width="14" customWidth="1" min="14" max="14"/>
    <col width="14" customWidth="1" min="15" max="1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P1–S6 校本課程審計（五大學科落實細節版）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40" t="inlineStr">
        <is>
          <t>每列代表一個年級、科組與共同能力的審計判斷。黃色欄位由科組填寫，藍色欄位自動計算。共 240 筆完整審計指標。</t>
        </is>
      </c>
      <c r="B3" s="40" t="inlineStr">
        <is>
          <t>每列代表一個年級、科組與共同能力的審計判斷。黃色欄位由科組填寫，藍色欄位自動計算。</t>
        </is>
      </c>
      <c r="C3" s="40" t="inlineStr">
        <is>
          <t>每列代表一個年級、科組與共同能力的審計判斷。黃色欄位由科組填寫，藍色欄位自動計算。</t>
        </is>
      </c>
      <c r="D3" s="40" t="inlineStr">
        <is>
          <t>每列代表一個年級、科組與共同能力的審計判斷。黃色欄位由科組填寫，藍色欄位自動計算。</t>
        </is>
      </c>
      <c r="E3" s="40" t="inlineStr">
        <is>
          <t>每列代表一個年級、科組與共同能力的審計判斷。黃色欄位由科組填寫，藍色欄位自動計算。</t>
        </is>
      </c>
      <c r="F3" s="40" t="inlineStr">
        <is>
          <t>每列代表一個年級、科組與共同能力的審計判斷。黃色欄位由科組填寫，藍色欄位自動計算。</t>
        </is>
      </c>
      <c r="G3" s="40" t="inlineStr">
        <is>
          <t>每列代表一個年級、科組與共同能力的審計判斷。黃色欄位由科組填寫，藍色欄位自動計算。</t>
        </is>
      </c>
      <c r="H3" s="40" t="inlineStr">
        <is>
          <t>每列代表一個年級、科組與共同能力的審計判斷。黃色欄位由科組填寫，藍色欄位自動計算。</t>
        </is>
      </c>
      <c r="I3" s="40" t="inlineStr">
        <is>
          <t>每列代表一個年級、科組與共同能力的審計判斷。黃色欄位由科組填寫，藍色欄位自動計算。</t>
        </is>
      </c>
      <c r="J3" s="40" t="inlineStr">
        <is>
          <t>每列代表一個年級、科組與共同能力的審計判斷。黃色欄位由科組填寫，藍色欄位自動計算。</t>
        </is>
      </c>
      <c r="K3" s="40" t="inlineStr">
        <is>
          <t>每列代表一個年級、科組與共同能力的審計判斷。黃色欄位由科組填寫，藍色欄位自動計算。</t>
        </is>
      </c>
      <c r="L3" s="40" t="inlineStr">
        <is>
          <t>每列代表一個年級、科組與共同能力的審計判斷。黃色欄位由科組填寫，藍色欄位自動計算。</t>
        </is>
      </c>
      <c r="M3" s="40" t="inlineStr">
        <is>
          <t>每列代表一個年級、科組與共同能力的審計判斷。黃色欄位由科組填寫，藍色欄位自動計算。</t>
        </is>
      </c>
      <c r="N3" s="40" t="inlineStr">
        <is>
          <t>每列代表一個年級、科組與共同能力的審計判斷。黃色欄位由科組填寫，藍色欄位自動計算。</t>
        </is>
      </c>
      <c r="O3" s="40" t="inlineStr">
        <is>
          <t>每列代表一個年級、科組與共同能力的審計判斷。黃色欄位由科組填寫，藍色欄位自動計算。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11" t="inlineStr">
        <is>
          <t>編號</t>
        </is>
      </c>
      <c r="B5" s="25" t="inlineStr">
        <is>
          <t>學段</t>
        </is>
      </c>
      <c r="C5" s="25" t="inlineStr">
        <is>
          <t>年級</t>
        </is>
      </c>
      <c r="D5" s="25" t="inlineStr">
        <is>
          <t>科組</t>
        </is>
      </c>
      <c r="E5" s="25" t="inlineStr">
        <is>
          <t>共同能力</t>
        </is>
      </c>
      <c r="F5" s="25" t="inlineStr">
        <is>
          <t>審計焦點</t>
        </is>
      </c>
      <c r="G5" s="25" t="inlineStr">
        <is>
          <t>證據類型</t>
        </is>
      </c>
      <c r="H5" s="25" t="inlineStr">
        <is>
          <t>落實狀態</t>
        </is>
      </c>
      <c r="I5" s="25" t="inlineStr">
        <is>
          <t>分數</t>
        </is>
      </c>
      <c r="J5" s="25" t="inlineStr">
        <is>
          <t>優先級</t>
        </is>
      </c>
      <c r="K5" s="25" t="inlineStr">
        <is>
          <t>證據位置／連結</t>
        </is>
      </c>
      <c r="L5" s="25" t="inlineStr">
        <is>
          <t>缺口描述</t>
        </is>
      </c>
      <c r="M5" s="25" t="inlineStr">
        <is>
          <t>改進行動</t>
        </is>
      </c>
      <c r="N5" s="25" t="inlineStr">
        <is>
          <t>負責人</t>
        </is>
      </c>
      <c r="O5" s="12" t="inlineStr">
        <is>
          <t>完成日期</t>
        </is>
      </c>
    </row>
    <row r="6" ht="42" customHeight="1">
      <c r="A6" s="82" t="n">
        <v>1</v>
      </c>
      <c r="B6" s="82" t="inlineStr">
        <is>
          <t>P1–P3</t>
        </is>
      </c>
      <c r="C6" s="82" t="inlineStr">
        <is>
          <t>P1</t>
        </is>
      </c>
      <c r="D6" s="87" t="inlineStr">
        <is>
          <t>中文科</t>
        </is>
      </c>
      <c r="E6" s="88" t="inlineStr">
        <is>
          <t>跨學科閱讀</t>
        </is>
      </c>
      <c r="F6" s="88" t="inlineStr">
        <is>
          <t>結合插圖與圖文混排，擷取繪本與生活說明文之關鍵事實，比較不同事物特徵</t>
        </is>
      </c>
      <c r="G6" s="88" t="inlineStr">
        <is>
          <t>繪本圖文檢索單、生字與圖像配對卡</t>
        </is>
      </c>
      <c r="H6" s="89" t="inlineStr">
        <is>
          <t>未檢視</t>
        </is>
      </c>
      <c r="I6" s="90">
        <f>IF(H6="未出現",0,IF(H6="部分出現",1,IF(H6="穩定出現",2,"")))</f>
        <v/>
      </c>
      <c r="J6" s="87" t="str"/>
      <c r="K6" s="88" t="str"/>
      <c r="L6" s="47" t="str"/>
      <c r="M6" s="47" t="str"/>
      <c r="N6" s="47" t="str"/>
      <c r="O6" s="91" t="n"/>
    </row>
    <row r="7" ht="42" customHeight="1">
      <c r="A7" s="82" t="n">
        <v>2</v>
      </c>
      <c r="B7" s="82" t="inlineStr">
        <is>
          <t>P1–P3</t>
        </is>
      </c>
      <c r="C7" s="82" t="inlineStr">
        <is>
          <t>P1</t>
        </is>
      </c>
      <c r="D7" s="87" t="inlineStr">
        <is>
          <t>中文科</t>
        </is>
      </c>
      <c r="E7" s="88" t="inlineStr">
        <is>
          <t>證據推理</t>
        </is>
      </c>
      <c r="F7" s="88" t="inlineStr">
        <is>
          <t>根據故事句段找出回答問題的關鍵字句，用「因為...所以...」口頭說明依據</t>
        </is>
      </c>
      <c r="G7" s="88" t="inlineStr">
        <is>
          <t>課文摘錄句卡、課堂口頭說明錄音/評量</t>
        </is>
      </c>
      <c r="H7" s="89" t="inlineStr">
        <is>
          <t>未檢視</t>
        </is>
      </c>
      <c r="I7" s="90">
        <f>IF(H7="未出現",0,IF(H7="部分出現",1,IF(H7="穩定出現",2,"")))</f>
        <v/>
      </c>
      <c r="J7" s="87" t="str"/>
      <c r="K7" s="88" t="str"/>
      <c r="L7" s="48" t="str"/>
      <c r="M7" s="48" t="str"/>
      <c r="N7" s="48" t="str"/>
      <c r="O7" s="92" t="n"/>
    </row>
    <row r="8" ht="42" customHeight="1">
      <c r="A8" s="82" t="n">
        <v>3</v>
      </c>
      <c r="B8" s="82" t="inlineStr">
        <is>
          <t>P1–P3</t>
        </is>
      </c>
      <c r="C8" s="82" t="inlineStr">
        <is>
          <t>P1</t>
        </is>
      </c>
      <c r="D8" s="87" t="inlineStr">
        <is>
          <t>中文科</t>
        </is>
      </c>
      <c r="E8" s="88" t="inlineStr">
        <is>
          <t>解難與建模</t>
        </is>
      </c>
      <c r="F8" s="88" t="inlineStr">
        <is>
          <t>依據情境故事因果關係拆解情節困境，提出替代方案並檢驗是否合乎情理</t>
        </is>
      </c>
      <c r="G8" s="88" t="inlineStr">
        <is>
          <t>故事結局改寫稿、生活問題解決繪本</t>
        </is>
      </c>
      <c r="H8" s="89" t="inlineStr">
        <is>
          <t>未檢視</t>
        </is>
      </c>
      <c r="I8" s="90">
        <f>IF(H8="未出現",0,IF(H8="部分出現",1,IF(H8="穩定出現",2,"")))</f>
        <v/>
      </c>
      <c r="J8" s="87" t="str"/>
      <c r="K8" s="88" t="str"/>
      <c r="L8" s="48" t="str"/>
      <c r="M8" s="48" t="str"/>
      <c r="N8" s="48" t="str"/>
      <c r="O8" s="92" t="n"/>
    </row>
    <row r="9" ht="42" customHeight="1">
      <c r="A9" s="82" t="n">
        <v>4</v>
      </c>
      <c r="B9" s="82" t="inlineStr">
        <is>
          <t>P1–P3</t>
        </is>
      </c>
      <c r="C9" s="82" t="inlineStr">
        <is>
          <t>P1</t>
        </is>
      </c>
      <c r="D9" s="87" t="inlineStr">
        <is>
          <t>中文科</t>
        </is>
      </c>
      <c r="E9" s="88" t="inlineStr">
        <is>
          <t>AI 與數碼素養</t>
        </is>
      </c>
      <c r="F9" s="88" t="inlineStr">
        <is>
          <t>在教師引導下認識 AI 語音與圖文輔助工具，清楚分辨電腦生成與自己親自思考之差異</t>
        </is>
      </c>
      <c r="G9" s="88" t="inlineStr">
        <is>
          <t>手繪手寫作品、AI 輔助識字體驗學習單</t>
        </is>
      </c>
      <c r="H9" s="89" t="inlineStr">
        <is>
          <t>未檢視</t>
        </is>
      </c>
      <c r="I9" s="90">
        <f>IF(H9="未出現",0,IF(H9="部分出現",1,IF(H9="穩定出現",2,"")))</f>
        <v/>
      </c>
      <c r="J9" s="87" t="str"/>
      <c r="K9" s="88" t="str"/>
      <c r="L9" s="48" t="str"/>
      <c r="M9" s="48" t="str"/>
      <c r="N9" s="48" t="str"/>
      <c r="O9" s="92" t="n"/>
    </row>
    <row r="10" ht="42" customHeight="1">
      <c r="A10" s="82" t="n">
        <v>5</v>
      </c>
      <c r="B10" s="82" t="inlineStr">
        <is>
          <t>P1–P3</t>
        </is>
      </c>
      <c r="C10" s="82" t="inlineStr">
        <is>
          <t>P2</t>
        </is>
      </c>
      <c r="D10" s="87" t="inlineStr">
        <is>
          <t>中文科</t>
        </is>
      </c>
      <c r="E10" s="88" t="inlineStr">
        <is>
          <t>跨學科閱讀</t>
        </is>
      </c>
      <c r="F10" s="88" t="inlineStr">
        <is>
          <t>結合插圖與圖文混排，擷取繪本與生活說明文之關鍵事實，比較不同事物特徵</t>
        </is>
      </c>
      <c r="G10" s="88" t="inlineStr">
        <is>
          <t>繪本圖文檢索單、生字與圖像配對卡</t>
        </is>
      </c>
      <c r="H10" s="89" t="inlineStr">
        <is>
          <t>未檢視</t>
        </is>
      </c>
      <c r="I10" s="90">
        <f>IF(H10="未出現",0,IF(H10="部分出現",1,IF(H10="穩定出現",2,"")))</f>
        <v/>
      </c>
      <c r="J10" s="87" t="str"/>
      <c r="K10" s="88" t="str"/>
      <c r="L10" s="48" t="str"/>
      <c r="M10" s="48" t="str"/>
      <c r="N10" s="48" t="str"/>
      <c r="O10" s="92" t="n"/>
    </row>
    <row r="11" ht="42" customHeight="1">
      <c r="A11" s="82" t="n">
        <v>6</v>
      </c>
      <c r="B11" s="82" t="inlineStr">
        <is>
          <t>P1–P3</t>
        </is>
      </c>
      <c r="C11" s="82" t="inlineStr">
        <is>
          <t>P2</t>
        </is>
      </c>
      <c r="D11" s="87" t="inlineStr">
        <is>
          <t>中文科</t>
        </is>
      </c>
      <c r="E11" s="88" t="inlineStr">
        <is>
          <t>證據推理</t>
        </is>
      </c>
      <c r="F11" s="88" t="inlineStr">
        <is>
          <t>根據故事句段找出回答問題的關鍵字句，用「因為...所以...」口頭說明依據</t>
        </is>
      </c>
      <c r="G11" s="88" t="inlineStr">
        <is>
          <t>課文摘錄句卡、課堂口頭說明錄音/評量</t>
        </is>
      </c>
      <c r="H11" s="89" t="inlineStr">
        <is>
          <t>未檢視</t>
        </is>
      </c>
      <c r="I11" s="90">
        <f>IF(H11="未出現",0,IF(H11="部分出現",1,IF(H11="穩定出現",2,"")))</f>
        <v/>
      </c>
      <c r="J11" s="87" t="str"/>
      <c r="K11" s="88" t="str"/>
      <c r="L11" s="48" t="str"/>
      <c r="M11" s="48" t="str"/>
      <c r="N11" s="48" t="str"/>
      <c r="O11" s="92" t="n"/>
    </row>
    <row r="12" ht="42" customHeight="1">
      <c r="A12" s="82" t="n">
        <v>7</v>
      </c>
      <c r="B12" s="82" t="inlineStr">
        <is>
          <t>P1–P3</t>
        </is>
      </c>
      <c r="C12" s="82" t="inlineStr">
        <is>
          <t>P2</t>
        </is>
      </c>
      <c r="D12" s="87" t="inlineStr">
        <is>
          <t>中文科</t>
        </is>
      </c>
      <c r="E12" s="88" t="inlineStr">
        <is>
          <t>解難與建模</t>
        </is>
      </c>
      <c r="F12" s="88" t="inlineStr">
        <is>
          <t>依據情境故事因果關係拆解情節困境，提出替代方案並檢驗是否合乎情理</t>
        </is>
      </c>
      <c r="G12" s="88" t="inlineStr">
        <is>
          <t>故事結局改寫稿、生活問題解決繪本</t>
        </is>
      </c>
      <c r="H12" s="89" t="inlineStr">
        <is>
          <t>未檢視</t>
        </is>
      </c>
      <c r="I12" s="90">
        <f>IF(H12="未出現",0,IF(H12="部分出現",1,IF(H12="穩定出現",2,"")))</f>
        <v/>
      </c>
      <c r="J12" s="87" t="str"/>
      <c r="K12" s="88" t="str"/>
      <c r="L12" s="48" t="str"/>
      <c r="M12" s="48" t="str"/>
      <c r="N12" s="48" t="str"/>
      <c r="O12" s="92" t="n"/>
    </row>
    <row r="13" ht="42" customHeight="1">
      <c r="A13" s="82" t="n">
        <v>8</v>
      </c>
      <c r="B13" s="82" t="inlineStr">
        <is>
          <t>P1–P3</t>
        </is>
      </c>
      <c r="C13" s="82" t="inlineStr">
        <is>
          <t>P2</t>
        </is>
      </c>
      <c r="D13" s="87" t="inlineStr">
        <is>
          <t>中文科</t>
        </is>
      </c>
      <c r="E13" s="88" t="inlineStr">
        <is>
          <t>AI 與數碼素養</t>
        </is>
      </c>
      <c r="F13" s="88" t="inlineStr">
        <is>
          <t>在教師引導下認識 AI 語音與圖文輔助工具，清楚分辨電腦生成與自己親自思考之差異</t>
        </is>
      </c>
      <c r="G13" s="88" t="inlineStr">
        <is>
          <t>手繪手寫作品、AI 輔助識字體驗學習單</t>
        </is>
      </c>
      <c r="H13" s="89" t="inlineStr">
        <is>
          <t>未檢視</t>
        </is>
      </c>
      <c r="I13" s="90">
        <f>IF(H13="未出現",0,IF(H13="部分出現",1,IF(H13="穩定出現",2,"")))</f>
        <v/>
      </c>
      <c r="J13" s="87" t="str"/>
      <c r="K13" s="88" t="str"/>
      <c r="L13" s="48" t="str"/>
      <c r="M13" s="48" t="str"/>
      <c r="N13" s="48" t="str"/>
      <c r="O13" s="92" t="n"/>
    </row>
    <row r="14" ht="42" customHeight="1">
      <c r="A14" s="82" t="n">
        <v>9</v>
      </c>
      <c r="B14" s="82" t="inlineStr">
        <is>
          <t>P1–P3</t>
        </is>
      </c>
      <c r="C14" s="82" t="inlineStr">
        <is>
          <t>P3</t>
        </is>
      </c>
      <c r="D14" s="87" t="inlineStr">
        <is>
          <t>中文科</t>
        </is>
      </c>
      <c r="E14" s="88" t="inlineStr">
        <is>
          <t>跨學科閱讀</t>
        </is>
      </c>
      <c r="F14" s="88" t="inlineStr">
        <is>
          <t>結合插圖與圖文混排，擷取繪本與生活說明文之關鍵事實，比較不同事物特徵</t>
        </is>
      </c>
      <c r="G14" s="88" t="inlineStr">
        <is>
          <t>繪本圖文檢索單、生字與圖像配對卡</t>
        </is>
      </c>
      <c r="H14" s="89" t="inlineStr">
        <is>
          <t>未檢視</t>
        </is>
      </c>
      <c r="I14" s="90">
        <f>IF(H14="未出現",0,IF(H14="部分出現",1,IF(H14="穩定出現",2,"")))</f>
        <v/>
      </c>
      <c r="J14" s="87" t="str"/>
      <c r="K14" s="88" t="str"/>
      <c r="L14" s="48" t="str"/>
      <c r="M14" s="48" t="str"/>
      <c r="N14" s="48" t="str"/>
      <c r="O14" s="92" t="n"/>
    </row>
    <row r="15" ht="42" customHeight="1">
      <c r="A15" s="82" t="n">
        <v>10</v>
      </c>
      <c r="B15" s="82" t="inlineStr">
        <is>
          <t>P1–P3</t>
        </is>
      </c>
      <c r="C15" s="82" t="inlineStr">
        <is>
          <t>P3</t>
        </is>
      </c>
      <c r="D15" s="87" t="inlineStr">
        <is>
          <t>中文科</t>
        </is>
      </c>
      <c r="E15" s="88" t="inlineStr">
        <is>
          <t>證據推理</t>
        </is>
      </c>
      <c r="F15" s="88" t="inlineStr">
        <is>
          <t>根據故事句段找出回答問題的關鍵字句，用「因為...所以...」口頭說明依據</t>
        </is>
      </c>
      <c r="G15" s="88" t="inlineStr">
        <is>
          <t>課文摘錄句卡、課堂口頭說明錄音/評量</t>
        </is>
      </c>
      <c r="H15" s="89" t="inlineStr">
        <is>
          <t>未檢視</t>
        </is>
      </c>
      <c r="I15" s="90">
        <f>IF(H15="未出現",0,IF(H15="部分出現",1,IF(H15="穩定出現",2,"")))</f>
        <v/>
      </c>
      <c r="J15" s="87" t="str"/>
      <c r="K15" s="88" t="str"/>
      <c r="L15" s="48" t="str"/>
      <c r="M15" s="48" t="str"/>
      <c r="N15" s="48" t="str"/>
      <c r="O15" s="92" t="n"/>
    </row>
    <row r="16" ht="42" customHeight="1">
      <c r="A16" s="82" t="n">
        <v>11</v>
      </c>
      <c r="B16" s="82" t="inlineStr">
        <is>
          <t>P1–P3</t>
        </is>
      </c>
      <c r="C16" s="82" t="inlineStr">
        <is>
          <t>P3</t>
        </is>
      </c>
      <c r="D16" s="87" t="inlineStr">
        <is>
          <t>中文科</t>
        </is>
      </c>
      <c r="E16" s="88" t="inlineStr">
        <is>
          <t>解難與建模</t>
        </is>
      </c>
      <c r="F16" s="88" t="inlineStr">
        <is>
          <t>依據情境故事因果關係拆解情節困境，提出替代方案並檢驗是否合乎情理</t>
        </is>
      </c>
      <c r="G16" s="88" t="inlineStr">
        <is>
          <t>故事結局改寫稿、生活問題解決繪本</t>
        </is>
      </c>
      <c r="H16" s="89" t="inlineStr">
        <is>
          <t>未檢視</t>
        </is>
      </c>
      <c r="I16" s="90">
        <f>IF(H16="未出現",0,IF(H16="部分出現",1,IF(H16="穩定出現",2,"")))</f>
        <v/>
      </c>
      <c r="J16" s="87" t="str"/>
      <c r="K16" s="88" t="str"/>
      <c r="L16" s="48" t="str"/>
      <c r="M16" s="48" t="str"/>
      <c r="N16" s="48" t="str"/>
      <c r="O16" s="92" t="n"/>
    </row>
    <row r="17" ht="42" customHeight="1">
      <c r="A17" s="82" t="n">
        <v>12</v>
      </c>
      <c r="B17" s="82" t="inlineStr">
        <is>
          <t>P1–P3</t>
        </is>
      </c>
      <c r="C17" s="82" t="inlineStr">
        <is>
          <t>P3</t>
        </is>
      </c>
      <c r="D17" s="87" t="inlineStr">
        <is>
          <t>中文科</t>
        </is>
      </c>
      <c r="E17" s="88" t="inlineStr">
        <is>
          <t>AI 與數碼素養</t>
        </is>
      </c>
      <c r="F17" s="88" t="inlineStr">
        <is>
          <t>在教師引導下認識 AI 語音與圖文輔助工具，清楚分辨電腦生成與自己親自思考之差異</t>
        </is>
      </c>
      <c r="G17" s="88" t="inlineStr">
        <is>
          <t>手繪手寫作品、AI 輔助識字體驗學習單</t>
        </is>
      </c>
      <c r="H17" s="89" t="inlineStr">
        <is>
          <t>未檢視</t>
        </is>
      </c>
      <c r="I17" s="90">
        <f>IF(H17="未出現",0,IF(H17="部分出現",1,IF(H17="穩定出現",2,"")))</f>
        <v/>
      </c>
      <c r="J17" s="87" t="str"/>
      <c r="K17" s="88" t="str"/>
      <c r="L17" s="48" t="str"/>
      <c r="M17" s="48" t="str"/>
      <c r="N17" s="48" t="str"/>
      <c r="O17" s="92" t="n"/>
    </row>
    <row r="18" ht="42" customHeight="1">
      <c r="A18" s="82" t="n">
        <v>13</v>
      </c>
      <c r="B18" s="82" t="inlineStr">
        <is>
          <t>P4–P6</t>
        </is>
      </c>
      <c r="C18" s="82" t="inlineStr">
        <is>
          <t>P4</t>
        </is>
      </c>
      <c r="D18" s="87" t="inlineStr">
        <is>
          <t>中文科</t>
        </is>
      </c>
      <c r="E18" s="88" t="inlineStr">
        <is>
          <t>跨學科閱讀</t>
        </is>
      </c>
      <c r="F18" s="88" t="inlineStr">
        <is>
          <t>閱讀科普/生活圖表與非連續性文本短文，提取並比對雙來源事實，整理結構要點</t>
        </is>
      </c>
      <c r="G18" s="88" t="inlineStr">
        <is>
          <t>非連續性文本閱讀筆記、事實與觀點比對表</t>
        </is>
      </c>
      <c r="H18" s="89" t="inlineStr">
        <is>
          <t>未檢視</t>
        </is>
      </c>
      <c r="I18" s="90">
        <f>IF(H18="未出現",0,IF(H18="部分出現",1,IF(H18="穩定出現",2,"")))</f>
        <v/>
      </c>
      <c r="J18" s="87" t="str"/>
      <c r="K18" s="88" t="str"/>
      <c r="L18" s="48" t="str"/>
      <c r="M18" s="48" t="str"/>
      <c r="N18" s="48" t="str"/>
      <c r="O18" s="92" t="n"/>
    </row>
    <row r="19" ht="42" customHeight="1">
      <c r="A19" s="82" t="n">
        <v>14</v>
      </c>
      <c r="B19" s="82" t="inlineStr">
        <is>
          <t>P4–P6</t>
        </is>
      </c>
      <c r="C19" s="82" t="inlineStr">
        <is>
          <t>P4</t>
        </is>
      </c>
      <c r="D19" s="87" t="inlineStr">
        <is>
          <t>中文科</t>
        </is>
      </c>
      <c r="E19" s="88" t="inlineStr">
        <is>
          <t>證據推理</t>
        </is>
      </c>
      <c r="F19" s="88" t="inlineStr">
        <is>
          <t>以文本證據支持推論，清晰區分客觀事實與主觀感受，指出結論的成立條件</t>
        </is>
      </c>
      <c r="G19" s="88" t="inlineStr">
        <is>
          <t>閱讀理解問答題、事實推論工作紙</t>
        </is>
      </c>
      <c r="H19" s="89" t="inlineStr">
        <is>
          <t>未檢視</t>
        </is>
      </c>
      <c r="I19" s="90">
        <f>IF(H19="未出現",0,IF(H19="部分出現",1,IF(H19="穩定出現",2,"")))</f>
        <v/>
      </c>
      <c r="J19" s="87" t="str"/>
      <c r="K19" s="88" t="str"/>
      <c r="L19" s="48" t="str"/>
      <c r="M19" s="48" t="str"/>
      <c r="N19" s="48" t="str"/>
      <c r="O19" s="92" t="n"/>
    </row>
    <row r="20" ht="42" customHeight="1">
      <c r="A20" s="82" t="n">
        <v>15</v>
      </c>
      <c r="B20" s="82" t="inlineStr">
        <is>
          <t>P4–P6</t>
        </is>
      </c>
      <c r="C20" s="82" t="inlineStr">
        <is>
          <t>P4</t>
        </is>
      </c>
      <c r="D20" s="87" t="inlineStr">
        <is>
          <t>中文科</t>
        </is>
      </c>
      <c r="E20" s="88" t="inlineStr">
        <is>
          <t>解難與建模</t>
        </is>
      </c>
      <c r="F20" s="88" t="inlineStr">
        <is>
          <t>針對校園真實情境撰寫實用倡議或問卷，依據受眾反饋修訂語氣與篇章結構</t>
        </is>
      </c>
      <c r="G20" s="88" t="inlineStr">
        <is>
          <t>倡議書、校園專題調查問卷與分析</t>
        </is>
      </c>
      <c r="H20" s="89" t="inlineStr">
        <is>
          <t>未檢視</t>
        </is>
      </c>
      <c r="I20" s="90">
        <f>IF(H20="未出現",0,IF(H20="部分出現",1,IF(H20="穩定出現",2,"")))</f>
        <v/>
      </c>
      <c r="J20" s="87" t="str"/>
      <c r="K20" s="88" t="str"/>
      <c r="L20" s="48" t="str"/>
      <c r="M20" s="48" t="str"/>
      <c r="N20" s="48" t="str"/>
      <c r="O20" s="92" t="n"/>
    </row>
    <row r="21" ht="42" customHeight="1">
      <c r="A21" s="82" t="n">
        <v>16</v>
      </c>
      <c r="B21" s="82" t="inlineStr">
        <is>
          <t>P4–P6</t>
        </is>
      </c>
      <c r="C21" s="82" t="inlineStr">
        <is>
          <t>P4</t>
        </is>
      </c>
      <c r="D21" s="87" t="inlineStr">
        <is>
          <t>中文科</t>
        </is>
      </c>
      <c r="E21" s="88" t="inlineStr">
        <is>
          <t>AI 與數碼素養</t>
        </is>
      </c>
      <c r="F21" s="88" t="inlineStr">
        <is>
          <t>記錄使用 AI 查找詞語或背景資料之過程，對照實體辭典或圖書核對至少一項事實出處</t>
        </is>
      </c>
      <c r="G21" s="88" t="inlineStr">
        <is>
          <t>詞彙核對記錄單、AI 生成內容比對筆記</t>
        </is>
      </c>
      <c r="H21" s="89" t="inlineStr">
        <is>
          <t>未檢視</t>
        </is>
      </c>
      <c r="I21" s="90">
        <f>IF(H21="未出現",0,IF(H21="部分出現",1,IF(H21="穩定出現",2,"")))</f>
        <v/>
      </c>
      <c r="J21" s="87" t="str"/>
      <c r="K21" s="88" t="str"/>
      <c r="L21" s="48" t="str"/>
      <c r="M21" s="48" t="str"/>
      <c r="N21" s="48" t="str"/>
      <c r="O21" s="92" t="n"/>
    </row>
    <row r="22" ht="42" customHeight="1">
      <c r="A22" s="82" t="n">
        <v>17</v>
      </c>
      <c r="B22" s="82" t="inlineStr">
        <is>
          <t>P4–P6</t>
        </is>
      </c>
      <c r="C22" s="82" t="inlineStr">
        <is>
          <t>P5</t>
        </is>
      </c>
      <c r="D22" s="87" t="inlineStr">
        <is>
          <t>中文科</t>
        </is>
      </c>
      <c r="E22" s="88" t="inlineStr">
        <is>
          <t>跨學科閱讀</t>
        </is>
      </c>
      <c r="F22" s="88" t="inlineStr">
        <is>
          <t>閱讀科普/生活圖表與非連續性文本短文，提取並比對雙來源事實，整理結構要點</t>
        </is>
      </c>
      <c r="G22" s="88" t="inlineStr">
        <is>
          <t>非連續性文本閱讀筆記、事實與觀點比對表</t>
        </is>
      </c>
      <c r="H22" s="89" t="inlineStr">
        <is>
          <t>未檢視</t>
        </is>
      </c>
      <c r="I22" s="90">
        <f>IF(H22="未出現",0,IF(H22="部分出現",1,IF(H22="穩定出現",2,"")))</f>
        <v/>
      </c>
      <c r="J22" s="87" t="str"/>
      <c r="K22" s="88" t="str"/>
      <c r="L22" s="48" t="str"/>
      <c r="M22" s="48" t="str"/>
      <c r="N22" s="48" t="str"/>
      <c r="O22" s="92" t="n"/>
    </row>
    <row r="23" ht="42" customHeight="1">
      <c r="A23" s="82" t="n">
        <v>18</v>
      </c>
      <c r="B23" s="82" t="inlineStr">
        <is>
          <t>P4–P6</t>
        </is>
      </c>
      <c r="C23" s="82" t="inlineStr">
        <is>
          <t>P5</t>
        </is>
      </c>
      <c r="D23" s="87" t="inlineStr">
        <is>
          <t>中文科</t>
        </is>
      </c>
      <c r="E23" s="88" t="inlineStr">
        <is>
          <t>證據推理</t>
        </is>
      </c>
      <c r="F23" s="88" t="inlineStr">
        <is>
          <t>以文本證據支持推論，清晰區分客觀事實與主觀感受，指出結論的成立條件</t>
        </is>
      </c>
      <c r="G23" s="88" t="inlineStr">
        <is>
          <t>閱讀理解問答題、事實推論工作紙</t>
        </is>
      </c>
      <c r="H23" s="89" t="inlineStr">
        <is>
          <t>未檢視</t>
        </is>
      </c>
      <c r="I23" s="90">
        <f>IF(H23="未出現",0,IF(H23="部分出現",1,IF(H23="穩定出現",2,"")))</f>
        <v/>
      </c>
      <c r="J23" s="87" t="str"/>
      <c r="K23" s="88" t="str"/>
      <c r="L23" s="48" t="str"/>
      <c r="M23" s="48" t="str"/>
      <c r="N23" s="48" t="str"/>
      <c r="O23" s="92" t="n"/>
    </row>
    <row r="24" ht="42" customHeight="1">
      <c r="A24" s="82" t="n">
        <v>19</v>
      </c>
      <c r="B24" s="82" t="inlineStr">
        <is>
          <t>P4–P6</t>
        </is>
      </c>
      <c r="C24" s="82" t="inlineStr">
        <is>
          <t>P5</t>
        </is>
      </c>
      <c r="D24" s="87" t="inlineStr">
        <is>
          <t>中文科</t>
        </is>
      </c>
      <c r="E24" s="88" t="inlineStr">
        <is>
          <t>解難與建模</t>
        </is>
      </c>
      <c r="F24" s="88" t="inlineStr">
        <is>
          <t>針對校園真實情境撰寫實用倡議或問卷，依據受眾反饋修訂語氣與篇章結構</t>
        </is>
      </c>
      <c r="G24" s="88" t="inlineStr">
        <is>
          <t>倡議書、校園專題調查問卷與分析</t>
        </is>
      </c>
      <c r="H24" s="89" t="inlineStr">
        <is>
          <t>未檢視</t>
        </is>
      </c>
      <c r="I24" s="90">
        <f>IF(H24="未出現",0,IF(H24="部分出現",1,IF(H24="穩定出現",2,"")))</f>
        <v/>
      </c>
      <c r="J24" s="87" t="str"/>
      <c r="K24" s="88" t="str"/>
      <c r="L24" s="48" t="str"/>
      <c r="M24" s="48" t="str"/>
      <c r="N24" s="48" t="str"/>
      <c r="O24" s="92" t="n"/>
    </row>
    <row r="25" ht="42" customHeight="1">
      <c r="A25" s="82" t="n">
        <v>20</v>
      </c>
      <c r="B25" s="82" t="inlineStr">
        <is>
          <t>P4–P6</t>
        </is>
      </c>
      <c r="C25" s="82" t="inlineStr">
        <is>
          <t>P5</t>
        </is>
      </c>
      <c r="D25" s="87" t="inlineStr">
        <is>
          <t>中文科</t>
        </is>
      </c>
      <c r="E25" s="88" t="inlineStr">
        <is>
          <t>AI 與數碼素養</t>
        </is>
      </c>
      <c r="F25" s="88" t="inlineStr">
        <is>
          <t>記錄使用 AI 查找詞語或背景資料之過程，對照實體辭典或圖書核對至少一項事實出處</t>
        </is>
      </c>
      <c r="G25" s="88" t="inlineStr">
        <is>
          <t>詞彙核對記錄單、AI 生成內容比對筆記</t>
        </is>
      </c>
      <c r="H25" s="89" t="inlineStr">
        <is>
          <t>未檢視</t>
        </is>
      </c>
      <c r="I25" s="90">
        <f>IF(H25="未出現",0,IF(H25="部分出現",1,IF(H25="穩定出現",2,"")))</f>
        <v/>
      </c>
      <c r="J25" s="87" t="str"/>
      <c r="K25" s="88" t="str"/>
      <c r="L25" s="48" t="str"/>
      <c r="M25" s="48" t="str"/>
      <c r="N25" s="48" t="str"/>
      <c r="O25" s="92" t="n"/>
    </row>
    <row r="26" ht="42" customHeight="1">
      <c r="A26" s="82" t="n">
        <v>21</v>
      </c>
      <c r="B26" s="82" t="inlineStr">
        <is>
          <t>P4–P6</t>
        </is>
      </c>
      <c r="C26" s="82" t="inlineStr">
        <is>
          <t>P6</t>
        </is>
      </c>
      <c r="D26" s="87" t="inlineStr">
        <is>
          <t>中文科</t>
        </is>
      </c>
      <c r="E26" s="88" t="inlineStr">
        <is>
          <t>跨學科閱讀</t>
        </is>
      </c>
      <c r="F26" s="88" t="inlineStr">
        <is>
          <t>閱讀科普/生活圖表與非連續性文本短文，提取並比對雙來源事實，整理結構要點</t>
        </is>
      </c>
      <c r="G26" s="88" t="inlineStr">
        <is>
          <t>非連續性文本閱讀筆記、事實與觀點比對表</t>
        </is>
      </c>
      <c r="H26" s="89" t="inlineStr">
        <is>
          <t>未檢視</t>
        </is>
      </c>
      <c r="I26" s="90">
        <f>IF(H26="未出現",0,IF(H26="部分出現",1,IF(H26="穩定出現",2,"")))</f>
        <v/>
      </c>
      <c r="J26" s="87" t="str"/>
      <c r="K26" s="88" t="str"/>
      <c r="L26" s="48" t="str"/>
      <c r="M26" s="48" t="str"/>
      <c r="N26" s="48" t="str"/>
      <c r="O26" s="92" t="n"/>
    </row>
    <row r="27" ht="42" customHeight="1">
      <c r="A27" s="82" t="n">
        <v>22</v>
      </c>
      <c r="B27" s="82" t="inlineStr">
        <is>
          <t>P4–P6</t>
        </is>
      </c>
      <c r="C27" s="82" t="inlineStr">
        <is>
          <t>P6</t>
        </is>
      </c>
      <c r="D27" s="87" t="inlineStr">
        <is>
          <t>中文科</t>
        </is>
      </c>
      <c r="E27" s="88" t="inlineStr">
        <is>
          <t>證據推理</t>
        </is>
      </c>
      <c r="F27" s="88" t="inlineStr">
        <is>
          <t>以文本證據支持推論，清晰區分客觀事實與主觀感受，指出結論的成立條件</t>
        </is>
      </c>
      <c r="G27" s="88" t="inlineStr">
        <is>
          <t>閱讀理解問答題、事實推論工作紙</t>
        </is>
      </c>
      <c r="H27" s="89" t="inlineStr">
        <is>
          <t>未檢視</t>
        </is>
      </c>
      <c r="I27" s="90">
        <f>IF(H27="未出現",0,IF(H27="部分出現",1,IF(H27="穩定出現",2,"")))</f>
        <v/>
      </c>
      <c r="J27" s="87" t="str"/>
      <c r="K27" s="88" t="str"/>
      <c r="L27" s="48" t="str"/>
      <c r="M27" s="48" t="str"/>
      <c r="N27" s="48" t="str"/>
      <c r="O27" s="92" t="n"/>
    </row>
    <row r="28" ht="42" customHeight="1">
      <c r="A28" s="82" t="n">
        <v>23</v>
      </c>
      <c r="B28" s="82" t="inlineStr">
        <is>
          <t>P4–P6</t>
        </is>
      </c>
      <c r="C28" s="82" t="inlineStr">
        <is>
          <t>P6</t>
        </is>
      </c>
      <c r="D28" s="87" t="inlineStr">
        <is>
          <t>中文科</t>
        </is>
      </c>
      <c r="E28" s="88" t="inlineStr">
        <is>
          <t>解難與建模</t>
        </is>
      </c>
      <c r="F28" s="88" t="inlineStr">
        <is>
          <t>針對校園真實情境撰寫實用倡議或問卷，依據受眾反饋修訂語氣與篇章結構</t>
        </is>
      </c>
      <c r="G28" s="88" t="inlineStr">
        <is>
          <t>倡議書、校園專題調查問卷與分析</t>
        </is>
      </c>
      <c r="H28" s="89" t="inlineStr">
        <is>
          <t>未檢視</t>
        </is>
      </c>
      <c r="I28" s="90">
        <f>IF(H28="未出現",0,IF(H28="部分出現",1,IF(H28="穩定出現",2,"")))</f>
        <v/>
      </c>
      <c r="J28" s="87" t="str"/>
      <c r="K28" s="88" t="str"/>
      <c r="L28" s="48" t="str"/>
      <c r="M28" s="48" t="str"/>
      <c r="N28" s="48" t="str"/>
      <c r="O28" s="92" t="n"/>
    </row>
    <row r="29" ht="42" customHeight="1">
      <c r="A29" s="82" t="n">
        <v>24</v>
      </c>
      <c r="B29" s="82" t="inlineStr">
        <is>
          <t>P4–P6</t>
        </is>
      </c>
      <c r="C29" s="82" t="inlineStr">
        <is>
          <t>P6</t>
        </is>
      </c>
      <c r="D29" s="87" t="inlineStr">
        <is>
          <t>中文科</t>
        </is>
      </c>
      <c r="E29" s="88" t="inlineStr">
        <is>
          <t>AI 與數碼素養</t>
        </is>
      </c>
      <c r="F29" s="88" t="inlineStr">
        <is>
          <t>記錄使用 AI 查找詞語或背景資料之過程，對照實體辭典或圖書核對至少一項事實出處</t>
        </is>
      </c>
      <c r="G29" s="88" t="inlineStr">
        <is>
          <t>詞彙核對記錄單、AI 生成內容比對筆記</t>
        </is>
      </c>
      <c r="H29" s="89" t="inlineStr">
        <is>
          <t>未檢視</t>
        </is>
      </c>
      <c r="I29" s="90">
        <f>IF(H29="未出現",0,IF(H29="部分出現",1,IF(H29="穩定出現",2,"")))</f>
        <v/>
      </c>
      <c r="J29" s="87" t="str"/>
      <c r="K29" s="88" t="str"/>
      <c r="L29" s="48" t="str"/>
      <c r="M29" s="48" t="str"/>
      <c r="N29" s="48" t="str"/>
      <c r="O29" s="92" t="n"/>
    </row>
    <row r="30" ht="42" customHeight="1">
      <c r="A30" s="82" t="n">
        <v>25</v>
      </c>
      <c r="B30" s="82" t="inlineStr">
        <is>
          <t>S1–S3</t>
        </is>
      </c>
      <c r="C30" s="82" t="inlineStr">
        <is>
          <t>S1</t>
        </is>
      </c>
      <c r="D30" s="87" t="inlineStr">
        <is>
          <t>中文科</t>
        </is>
      </c>
      <c r="E30" s="88" t="inlineStr">
        <is>
          <t>跨學科閱讀</t>
        </is>
      </c>
      <c r="F30" s="88" t="inlineStr">
        <is>
          <t>閱讀多元立場社論、新聞調查與多媒介專案文本，辨析作者立場、修辭意圖與觀點偏誤</t>
        </is>
      </c>
      <c r="G30" s="88" t="inlineStr">
        <is>
          <t>多文本批注紀錄、論證立場分析作業</t>
        </is>
      </c>
      <c r="H30" s="89" t="inlineStr">
        <is>
          <t>未檢視</t>
        </is>
      </c>
      <c r="I30" s="90">
        <f>IF(H30="未出現",0,IF(H30="部分出現",1,IF(H30="穩定出現",2,"")))</f>
        <v/>
      </c>
      <c r="J30" s="87" t="str"/>
      <c r="K30" s="88" t="str"/>
      <c r="L30" s="48" t="str"/>
      <c r="M30" s="48" t="str"/>
      <c r="N30" s="48" t="str"/>
      <c r="O30" s="92" t="n"/>
    </row>
    <row r="31" ht="42" customHeight="1">
      <c r="A31" s="82" t="n">
        <v>26</v>
      </c>
      <c r="B31" s="82" t="inlineStr">
        <is>
          <t>S1–S3</t>
        </is>
      </c>
      <c r="C31" s="82" t="inlineStr">
        <is>
          <t>S1</t>
        </is>
      </c>
      <c r="D31" s="87" t="inlineStr">
        <is>
          <t>中文科</t>
        </is>
      </c>
      <c r="E31" s="88" t="inlineStr">
        <is>
          <t>證據推理</t>
        </is>
      </c>
      <c r="F31" s="88" t="inlineStr">
        <is>
          <t>建構完整論點-論據-論證鏈條，辨識論證瑕疵，運用文本反例評估說服力充分性</t>
        </is>
      </c>
      <c r="G31" s="88" t="inlineStr">
        <is>
          <t>議論文提綱草稿、辯論立論書與駁論表</t>
        </is>
      </c>
      <c r="H31" s="89" t="inlineStr">
        <is>
          <t>未檢視</t>
        </is>
      </c>
      <c r="I31" s="90">
        <f>IF(H31="未出現",0,IF(H31="部分出現",1,IF(H31="穩定出現",2,"")))</f>
        <v/>
      </c>
      <c r="J31" s="87" t="str"/>
      <c r="K31" s="88" t="str"/>
      <c r="L31" s="48" t="str"/>
      <c r="M31" s="48" t="str"/>
      <c r="N31" s="48" t="str"/>
      <c r="O31" s="92" t="n"/>
    </row>
    <row r="32" ht="42" customHeight="1">
      <c r="A32" s="82" t="n">
        <v>27</v>
      </c>
      <c r="B32" s="82" t="inlineStr">
        <is>
          <t>S1–S3</t>
        </is>
      </c>
      <c r="C32" s="82" t="inlineStr">
        <is>
          <t>S1</t>
        </is>
      </c>
      <c r="D32" s="87" t="inlineStr">
        <is>
          <t>中文科</t>
        </is>
      </c>
      <c r="E32" s="88" t="inlineStr">
        <is>
          <t>解難與建模</t>
        </is>
      </c>
      <c r="F32" s="88" t="inlineStr">
        <is>
          <t>針對社區與校本公共議題進行調研寫作，設計解決方案架構，權衡利弊並迭代文稿</t>
        </is>
      </c>
      <c r="G32" s="88" t="inlineStr">
        <is>
          <t>專題調查報告、公共提案策劃書</t>
        </is>
      </c>
      <c r="H32" s="89" t="inlineStr">
        <is>
          <t>未檢視</t>
        </is>
      </c>
      <c r="I32" s="90">
        <f>IF(H32="未出現",0,IF(H32="部分出現",1,IF(H32="穩定出現",2,"")))</f>
        <v/>
      </c>
      <c r="J32" s="87" t="str"/>
      <c r="K32" s="88" t="str"/>
      <c r="L32" s="48" t="str"/>
      <c r="M32" s="48" t="str"/>
      <c r="N32" s="48" t="str"/>
      <c r="O32" s="92" t="n"/>
    </row>
    <row r="33" ht="42" customHeight="1">
      <c r="A33" s="82" t="n">
        <v>28</v>
      </c>
      <c r="B33" s="82" t="inlineStr">
        <is>
          <t>S1–S3</t>
        </is>
      </c>
      <c r="C33" s="82" t="inlineStr">
        <is>
          <t>S1</t>
        </is>
      </c>
      <c r="D33" s="87" t="inlineStr">
        <is>
          <t>中文科</t>
        </is>
      </c>
      <c r="E33" s="88" t="inlineStr">
        <is>
          <t>AI 與數碼素養</t>
        </is>
      </c>
      <c r="F33" s="88" t="inlineStr">
        <is>
          <t>落實 Q-V-R-E-R：設定精確 Prompt（Q），核實文獻出處（V），潤飾字句（R），辨析偏見（E），現場答辯（R）</t>
        </is>
      </c>
      <c r="G33" s="88" t="inlineStr">
        <is>
          <t>Q-V-R-E-R 提示詞日誌、課堂口頭答辯評量單</t>
        </is>
      </c>
      <c r="H33" s="89" t="inlineStr">
        <is>
          <t>未檢視</t>
        </is>
      </c>
      <c r="I33" s="90">
        <f>IF(H33="未出現",0,IF(H33="部分出現",1,IF(H33="穩定出現",2,"")))</f>
        <v/>
      </c>
      <c r="J33" s="87" t="str"/>
      <c r="K33" s="88" t="str"/>
      <c r="L33" s="48" t="str"/>
      <c r="M33" s="48" t="str"/>
      <c r="N33" s="48" t="str"/>
      <c r="O33" s="92" t="n"/>
    </row>
    <row r="34" ht="42" customHeight="1">
      <c r="A34" s="82" t="n">
        <v>29</v>
      </c>
      <c r="B34" s="82" t="inlineStr">
        <is>
          <t>S1–S3</t>
        </is>
      </c>
      <c r="C34" s="82" t="inlineStr">
        <is>
          <t>S2</t>
        </is>
      </c>
      <c r="D34" s="87" t="inlineStr">
        <is>
          <t>中文科</t>
        </is>
      </c>
      <c r="E34" s="88" t="inlineStr">
        <is>
          <t>跨學科閱讀</t>
        </is>
      </c>
      <c r="F34" s="88" t="inlineStr">
        <is>
          <t>閱讀多元立場社論、新聞調查與多媒介專案文本，辨析作者立場、修辭意圖與觀點偏誤</t>
        </is>
      </c>
      <c r="G34" s="88" t="inlineStr">
        <is>
          <t>多文本批注紀錄、論證立場分析作業</t>
        </is>
      </c>
      <c r="H34" s="89" t="inlineStr">
        <is>
          <t>未檢視</t>
        </is>
      </c>
      <c r="I34" s="90">
        <f>IF(H34="未出現",0,IF(H34="部分出現",1,IF(H34="穩定出現",2,"")))</f>
        <v/>
      </c>
      <c r="J34" s="87" t="str"/>
      <c r="K34" s="88" t="str"/>
      <c r="L34" s="48" t="str"/>
      <c r="M34" s="48" t="str"/>
      <c r="N34" s="48" t="str"/>
      <c r="O34" s="92" t="n"/>
    </row>
    <row r="35" ht="42" customHeight="1">
      <c r="A35" s="82" t="n">
        <v>30</v>
      </c>
      <c r="B35" s="82" t="inlineStr">
        <is>
          <t>S1–S3</t>
        </is>
      </c>
      <c r="C35" s="82" t="inlineStr">
        <is>
          <t>S2</t>
        </is>
      </c>
      <c r="D35" s="87" t="inlineStr">
        <is>
          <t>中文科</t>
        </is>
      </c>
      <c r="E35" s="88" t="inlineStr">
        <is>
          <t>證據推理</t>
        </is>
      </c>
      <c r="F35" s="88" t="inlineStr">
        <is>
          <t>建構完整論點-論據-論證鏈條，辨識論證瑕疵，運用文本反例評估說服力充分性</t>
        </is>
      </c>
      <c r="G35" s="88" t="inlineStr">
        <is>
          <t>議論文提綱草稿、辯論立論書與駁論表</t>
        </is>
      </c>
      <c r="H35" s="89" t="inlineStr">
        <is>
          <t>未檢視</t>
        </is>
      </c>
      <c r="I35" s="90">
        <f>IF(H35="未出現",0,IF(H35="部分出現",1,IF(H35="穩定出現",2,"")))</f>
        <v/>
      </c>
      <c r="J35" s="87" t="str"/>
      <c r="K35" s="88" t="str"/>
      <c r="L35" s="48" t="str"/>
      <c r="M35" s="48" t="str"/>
      <c r="N35" s="48" t="str"/>
      <c r="O35" s="92" t="n"/>
    </row>
    <row r="36" ht="42" customHeight="1">
      <c r="A36" s="82" t="n">
        <v>31</v>
      </c>
      <c r="B36" s="82" t="inlineStr">
        <is>
          <t>S1–S3</t>
        </is>
      </c>
      <c r="C36" s="82" t="inlineStr">
        <is>
          <t>S2</t>
        </is>
      </c>
      <c r="D36" s="87" t="inlineStr">
        <is>
          <t>中文科</t>
        </is>
      </c>
      <c r="E36" s="88" t="inlineStr">
        <is>
          <t>解難與建模</t>
        </is>
      </c>
      <c r="F36" s="88" t="inlineStr">
        <is>
          <t>針對社區與校本公共議題進行調研寫作，設計解決方案架構，權衡利弊並迭代文稿</t>
        </is>
      </c>
      <c r="G36" s="88" t="inlineStr">
        <is>
          <t>專題調查報告、公共提案策劃書</t>
        </is>
      </c>
      <c r="H36" s="89" t="inlineStr">
        <is>
          <t>未檢視</t>
        </is>
      </c>
      <c r="I36" s="90">
        <f>IF(H36="未出現",0,IF(H36="部分出現",1,IF(H36="穩定出現",2,"")))</f>
        <v/>
      </c>
      <c r="J36" s="87" t="str"/>
      <c r="K36" s="88" t="str"/>
      <c r="L36" s="48" t="str"/>
      <c r="M36" s="48" t="str"/>
      <c r="N36" s="48" t="str"/>
      <c r="O36" s="92" t="n"/>
    </row>
    <row r="37" ht="42" customHeight="1">
      <c r="A37" s="82" t="n">
        <v>32</v>
      </c>
      <c r="B37" s="82" t="inlineStr">
        <is>
          <t>S1–S3</t>
        </is>
      </c>
      <c r="C37" s="82" t="inlineStr">
        <is>
          <t>S2</t>
        </is>
      </c>
      <c r="D37" s="87" t="inlineStr">
        <is>
          <t>中文科</t>
        </is>
      </c>
      <c r="E37" s="88" t="inlineStr">
        <is>
          <t>AI 與數碼素養</t>
        </is>
      </c>
      <c r="F37" s="88" t="inlineStr">
        <is>
          <t>落實 Q-V-R-E-R：設定精確 Prompt（Q），核實文獻出處（V），潤飾字句（R），辨析偏見（E），現場答辯（R）</t>
        </is>
      </c>
      <c r="G37" s="88" t="inlineStr">
        <is>
          <t>Q-V-R-E-R 提示詞日誌、課堂口頭答辯評量單</t>
        </is>
      </c>
      <c r="H37" s="89" t="inlineStr">
        <is>
          <t>未檢視</t>
        </is>
      </c>
      <c r="I37" s="90">
        <f>IF(H37="未出現",0,IF(H37="部分出現",1,IF(H37="穩定出現",2,"")))</f>
        <v/>
      </c>
      <c r="J37" s="87" t="str"/>
      <c r="K37" s="88" t="str"/>
      <c r="L37" s="48" t="str"/>
      <c r="M37" s="48" t="str"/>
      <c r="N37" s="48" t="str"/>
      <c r="O37" s="92" t="n"/>
    </row>
    <row r="38" ht="42" customHeight="1">
      <c r="A38" s="82" t="n">
        <v>33</v>
      </c>
      <c r="B38" s="82" t="inlineStr">
        <is>
          <t>S1–S3</t>
        </is>
      </c>
      <c r="C38" s="82" t="inlineStr">
        <is>
          <t>S3</t>
        </is>
      </c>
      <c r="D38" s="87" t="inlineStr">
        <is>
          <t>中文科</t>
        </is>
      </c>
      <c r="E38" s="88" t="inlineStr">
        <is>
          <t>跨學科閱讀</t>
        </is>
      </c>
      <c r="F38" s="88" t="inlineStr">
        <is>
          <t>閱讀多元立場社論、新聞調查與多媒介專案文本，辨析作者立場、修辭意圖與觀點偏誤</t>
        </is>
      </c>
      <c r="G38" s="88" t="inlineStr">
        <is>
          <t>多文本批注紀錄、論證立場分析作業</t>
        </is>
      </c>
      <c r="H38" s="89" t="inlineStr">
        <is>
          <t>未檢視</t>
        </is>
      </c>
      <c r="I38" s="90">
        <f>IF(H38="未出現",0,IF(H38="部分出現",1,IF(H38="穩定出現",2,"")))</f>
        <v/>
      </c>
      <c r="J38" s="87" t="str"/>
      <c r="K38" s="88" t="str"/>
      <c r="L38" s="48" t="str"/>
      <c r="M38" s="48" t="str"/>
      <c r="N38" s="48" t="str"/>
      <c r="O38" s="92" t="n"/>
    </row>
    <row r="39" ht="42" customHeight="1">
      <c r="A39" s="82" t="n">
        <v>34</v>
      </c>
      <c r="B39" s="82" t="inlineStr">
        <is>
          <t>S1–S3</t>
        </is>
      </c>
      <c r="C39" s="82" t="inlineStr">
        <is>
          <t>S3</t>
        </is>
      </c>
      <c r="D39" s="87" t="inlineStr">
        <is>
          <t>中文科</t>
        </is>
      </c>
      <c r="E39" s="88" t="inlineStr">
        <is>
          <t>證據推理</t>
        </is>
      </c>
      <c r="F39" s="88" t="inlineStr">
        <is>
          <t>建構完整論點-論據-論證鏈條，辨識論證瑕疵，運用文本反例評估說服力充分性</t>
        </is>
      </c>
      <c r="G39" s="88" t="inlineStr">
        <is>
          <t>議論文提綱草稿、辯論立論書與駁論表</t>
        </is>
      </c>
      <c r="H39" s="89" t="inlineStr">
        <is>
          <t>未檢視</t>
        </is>
      </c>
      <c r="I39" s="90">
        <f>IF(H39="未出現",0,IF(H39="部分出現",1,IF(H39="穩定出現",2,"")))</f>
        <v/>
      </c>
      <c r="J39" s="87" t="str"/>
      <c r="K39" s="88" t="str"/>
      <c r="L39" s="48" t="str"/>
      <c r="M39" s="48" t="str"/>
      <c r="N39" s="48" t="str"/>
      <c r="O39" s="92" t="n"/>
    </row>
    <row r="40" ht="42" customHeight="1">
      <c r="A40" s="82" t="n">
        <v>35</v>
      </c>
      <c r="B40" s="82" t="inlineStr">
        <is>
          <t>S1–S3</t>
        </is>
      </c>
      <c r="C40" s="82" t="inlineStr">
        <is>
          <t>S3</t>
        </is>
      </c>
      <c r="D40" s="87" t="inlineStr">
        <is>
          <t>中文科</t>
        </is>
      </c>
      <c r="E40" s="88" t="inlineStr">
        <is>
          <t>解難與建模</t>
        </is>
      </c>
      <c r="F40" s="88" t="inlineStr">
        <is>
          <t>針對社區與校本公共議題進行調研寫作，設計解決方案架構，權衡利弊並迭代文稿</t>
        </is>
      </c>
      <c r="G40" s="88" t="inlineStr">
        <is>
          <t>專題調查報告、公共提案策劃書</t>
        </is>
      </c>
      <c r="H40" s="89" t="inlineStr">
        <is>
          <t>未檢視</t>
        </is>
      </c>
      <c r="I40" s="90">
        <f>IF(H40="未出現",0,IF(H40="部分出現",1,IF(H40="穩定出現",2,"")))</f>
        <v/>
      </c>
      <c r="J40" s="87" t="str"/>
      <c r="K40" s="88" t="str"/>
      <c r="L40" s="48" t="str"/>
      <c r="M40" s="48" t="str"/>
      <c r="N40" s="48" t="str"/>
      <c r="O40" s="92" t="n"/>
    </row>
    <row r="41" ht="42" customHeight="1">
      <c r="A41" s="82" t="n">
        <v>36</v>
      </c>
      <c r="B41" s="82" t="inlineStr">
        <is>
          <t>S1–S3</t>
        </is>
      </c>
      <c r="C41" s="82" t="inlineStr">
        <is>
          <t>S3</t>
        </is>
      </c>
      <c r="D41" s="87" t="inlineStr">
        <is>
          <t>中文科</t>
        </is>
      </c>
      <c r="E41" s="88" t="inlineStr">
        <is>
          <t>AI 與數碼素養</t>
        </is>
      </c>
      <c r="F41" s="88" t="inlineStr">
        <is>
          <t>落實 Q-V-R-E-R：設定精確 Prompt（Q），核實文獻出處（V），潤飾字句（R），辨析偏見（E），現場答辯（R）</t>
        </is>
      </c>
      <c r="G41" s="88" t="inlineStr">
        <is>
          <t>Q-V-R-E-R 提示詞日誌、課堂口頭答辯評量單</t>
        </is>
      </c>
      <c r="H41" s="89" t="inlineStr">
        <is>
          <t>未檢視</t>
        </is>
      </c>
      <c r="I41" s="90">
        <f>IF(H41="未出現",0,IF(H41="部分出現",1,IF(H41="穩定出現",2,"")))</f>
        <v/>
      </c>
      <c r="J41" s="87" t="str"/>
      <c r="K41" s="88" t="str"/>
      <c r="L41" s="48" t="str"/>
      <c r="M41" s="48" t="str"/>
      <c r="N41" s="48" t="str"/>
      <c r="O41" s="92" t="n"/>
    </row>
    <row r="42" ht="42" customHeight="1">
      <c r="A42" s="82" t="n">
        <v>37</v>
      </c>
      <c r="B42" s="82" t="inlineStr">
        <is>
          <t>S4–S6</t>
        </is>
      </c>
      <c r="C42" s="82" t="inlineStr">
        <is>
          <t>S4</t>
        </is>
      </c>
      <c r="D42" s="87" t="inlineStr">
        <is>
          <t>中文科</t>
        </is>
      </c>
      <c r="E42" s="88" t="inlineStr">
        <is>
          <t>跨學科閱讀</t>
        </is>
      </c>
      <c r="F42" s="88" t="inlineStr">
        <is>
          <t>研讀跨領域長篇學術議論、經典文本與公共政策文獻，評估論據信度、邏輯漏洞與局限性</t>
        </is>
      </c>
      <c r="G42" s="88" t="inlineStr">
        <is>
          <t>批判性學術文獻短評、政策評析報告</t>
        </is>
      </c>
      <c r="H42" s="89" t="inlineStr">
        <is>
          <t>未檢視</t>
        </is>
      </c>
      <c r="I42" s="90">
        <f>IF(H42="未出現",0,IF(H42="部分出現",1,IF(H42="穩定出現",2,"")))</f>
        <v/>
      </c>
      <c r="J42" s="87" t="str"/>
      <c r="K42" s="88" t="str"/>
      <c r="L42" s="48" t="str"/>
      <c r="M42" s="48" t="str"/>
      <c r="N42" s="48" t="str"/>
      <c r="O42" s="92" t="n"/>
    </row>
    <row r="43" ht="42" customHeight="1">
      <c r="A43" s="82" t="n">
        <v>38</v>
      </c>
      <c r="B43" s="82" t="inlineStr">
        <is>
          <t>S4–S6</t>
        </is>
      </c>
      <c r="C43" s="82" t="inlineStr">
        <is>
          <t>S4</t>
        </is>
      </c>
      <c r="D43" s="87" t="inlineStr">
        <is>
          <t>中文科</t>
        </is>
      </c>
      <c r="E43" s="88" t="inlineStr">
        <is>
          <t>證據推理</t>
        </is>
      </c>
      <c r="F43" s="88" t="inlineStr">
        <is>
          <t>針對爭議性議題開展多維度論辯，辨析背後利益關聯與價值預設，提出具反駁性之論證</t>
        </is>
      </c>
      <c r="G43" s="88" t="inlineStr">
        <is>
          <t>專題論文、同儕答辯紀錄與論文改進稿</t>
        </is>
      </c>
      <c r="H43" s="89" t="inlineStr">
        <is>
          <t>未檢視</t>
        </is>
      </c>
      <c r="I43" s="90">
        <f>IF(H43="未出現",0,IF(H43="部分出現",1,IF(H43="穩定出現",2,"")))</f>
        <v/>
      </c>
      <c r="J43" s="87" t="str"/>
      <c r="K43" s="88" t="str"/>
      <c r="L43" s="48" t="str"/>
      <c r="M43" s="48" t="str"/>
      <c r="N43" s="48" t="str"/>
      <c r="O43" s="92" t="n"/>
    </row>
    <row r="44" ht="42" customHeight="1">
      <c r="A44" s="82" t="n">
        <v>39</v>
      </c>
      <c r="B44" s="82" t="inlineStr">
        <is>
          <t>S4–S6</t>
        </is>
      </c>
      <c r="C44" s="82" t="inlineStr">
        <is>
          <t>S4</t>
        </is>
      </c>
      <c r="D44" s="87" t="inlineStr">
        <is>
          <t>中文科</t>
        </is>
      </c>
      <c r="E44" s="88" t="inlineStr">
        <is>
          <t>解難與建模</t>
        </is>
      </c>
      <c r="F44" s="88" t="inlineStr">
        <is>
          <t>複雜文化/社會情境之專題探究與創意策劃，建立綜合表述模型，反思實施邊界</t>
        </is>
      </c>
      <c r="G44" s="88" t="inlineStr">
        <is>
          <t>文化專題深究成果、學術論文初稿</t>
        </is>
      </c>
      <c r="H44" s="89" t="inlineStr">
        <is>
          <t>未檢視</t>
        </is>
      </c>
      <c r="I44" s="90">
        <f>IF(H44="未出現",0,IF(H44="部分出現",1,IF(H44="穩定出現",2,"")))</f>
        <v/>
      </c>
      <c r="J44" s="87" t="str"/>
      <c r="K44" s="88" t="str"/>
      <c r="L44" s="48" t="str"/>
      <c r="M44" s="48" t="str"/>
      <c r="N44" s="48" t="str"/>
      <c r="O44" s="92" t="n"/>
    </row>
    <row r="45" ht="42" customHeight="1">
      <c r="A45" s="82" t="n">
        <v>40</v>
      </c>
      <c r="B45" s="82" t="inlineStr">
        <is>
          <t>S4–S6</t>
        </is>
      </c>
      <c r="C45" s="82" t="inlineStr">
        <is>
          <t>S4</t>
        </is>
      </c>
      <c r="D45" s="87" t="inlineStr">
        <is>
          <t>中文科</t>
        </is>
      </c>
      <c r="E45" s="88" t="inlineStr">
        <is>
          <t>AI 與數碼素養</t>
        </is>
      </c>
      <c r="F45" s="88" t="inlineStr">
        <is>
          <t>初稿嚴格落實「離線紙筆構思」，僅在修訂期引入 AI 激發反方論點；完整保留 Prompt 與版本日誌</t>
        </is>
      </c>
      <c r="G45" s="88" t="inlineStr">
        <is>
          <t>離線初稿手稿、AI 修訂版本比對表、防外包承諾書</t>
        </is>
      </c>
      <c r="H45" s="89" t="inlineStr">
        <is>
          <t>未檢視</t>
        </is>
      </c>
      <c r="I45" s="90">
        <f>IF(H45="未出現",0,IF(H45="部分出現",1,IF(H45="穩定出現",2,"")))</f>
        <v/>
      </c>
      <c r="J45" s="87" t="str"/>
      <c r="K45" s="88" t="str"/>
      <c r="L45" s="48" t="str"/>
      <c r="M45" s="48" t="str"/>
      <c r="N45" s="48" t="str"/>
      <c r="O45" s="92" t="n"/>
    </row>
    <row r="46" ht="42" customHeight="1">
      <c r="A46" s="82" t="n">
        <v>41</v>
      </c>
      <c r="B46" s="82" t="inlineStr">
        <is>
          <t>S4–S6</t>
        </is>
      </c>
      <c r="C46" s="82" t="inlineStr">
        <is>
          <t>S5</t>
        </is>
      </c>
      <c r="D46" s="87" t="inlineStr">
        <is>
          <t>中文科</t>
        </is>
      </c>
      <c r="E46" s="88" t="inlineStr">
        <is>
          <t>跨學科閱讀</t>
        </is>
      </c>
      <c r="F46" s="88" t="inlineStr">
        <is>
          <t>研讀跨領域長篇學術議論、經典文本與公共政策文獻，評估論據信度、邏輯漏洞與局限性</t>
        </is>
      </c>
      <c r="G46" s="88" t="inlineStr">
        <is>
          <t>批判性學術文獻短評、政策評析報告</t>
        </is>
      </c>
      <c r="H46" s="89" t="inlineStr">
        <is>
          <t>未檢視</t>
        </is>
      </c>
      <c r="I46" s="90">
        <f>IF(H46="未出現",0,IF(H46="部分出現",1,IF(H46="穩定出現",2,"")))</f>
        <v/>
      </c>
      <c r="J46" s="87" t="str"/>
      <c r="K46" s="88" t="str"/>
      <c r="L46" s="48" t="str"/>
      <c r="M46" s="48" t="str"/>
      <c r="N46" s="48" t="str"/>
      <c r="O46" s="92" t="n"/>
    </row>
    <row r="47" ht="42" customHeight="1">
      <c r="A47" s="82" t="n">
        <v>42</v>
      </c>
      <c r="B47" s="82" t="inlineStr">
        <is>
          <t>S4–S6</t>
        </is>
      </c>
      <c r="C47" s="82" t="inlineStr">
        <is>
          <t>S5</t>
        </is>
      </c>
      <c r="D47" s="87" t="inlineStr">
        <is>
          <t>中文科</t>
        </is>
      </c>
      <c r="E47" s="88" t="inlineStr">
        <is>
          <t>證據推理</t>
        </is>
      </c>
      <c r="F47" s="88" t="inlineStr">
        <is>
          <t>針對爭議性議題開展多維度論辯，辨析背後利益關聯與價值預設，提出具反駁性之論證</t>
        </is>
      </c>
      <c r="G47" s="88" t="inlineStr">
        <is>
          <t>專題論文、同儕答辯紀錄與論文改進稿</t>
        </is>
      </c>
      <c r="H47" s="89" t="inlineStr">
        <is>
          <t>未檢視</t>
        </is>
      </c>
      <c r="I47" s="90">
        <f>IF(H47="未出現",0,IF(H47="部分出現",1,IF(H47="穩定出現",2,"")))</f>
        <v/>
      </c>
      <c r="J47" s="87" t="str"/>
      <c r="K47" s="88" t="str"/>
      <c r="L47" s="48" t="str"/>
      <c r="M47" s="48" t="str"/>
      <c r="N47" s="48" t="str"/>
      <c r="O47" s="92" t="n"/>
    </row>
    <row r="48" ht="42" customHeight="1">
      <c r="A48" s="82" t="n">
        <v>43</v>
      </c>
      <c r="B48" s="82" t="inlineStr">
        <is>
          <t>S4–S6</t>
        </is>
      </c>
      <c r="C48" s="82" t="inlineStr">
        <is>
          <t>S5</t>
        </is>
      </c>
      <c r="D48" s="87" t="inlineStr">
        <is>
          <t>中文科</t>
        </is>
      </c>
      <c r="E48" s="88" t="inlineStr">
        <is>
          <t>解難與建模</t>
        </is>
      </c>
      <c r="F48" s="88" t="inlineStr">
        <is>
          <t>複雜文化/社會情境之專題探究與創意策劃，建立綜合表述模型，反思實施邊界</t>
        </is>
      </c>
      <c r="G48" s="88" t="inlineStr">
        <is>
          <t>文化專題深究成果、學術論文初稿</t>
        </is>
      </c>
      <c r="H48" s="89" t="inlineStr">
        <is>
          <t>未檢視</t>
        </is>
      </c>
      <c r="I48" s="90">
        <f>IF(H48="未出現",0,IF(H48="部分出現",1,IF(H48="穩定出現",2,"")))</f>
        <v/>
      </c>
      <c r="J48" s="87" t="str"/>
      <c r="K48" s="88" t="str"/>
      <c r="L48" s="48" t="str"/>
      <c r="M48" s="48" t="str"/>
      <c r="N48" s="48" t="str"/>
      <c r="O48" s="92" t="n"/>
    </row>
    <row r="49" ht="42" customHeight="1">
      <c r="A49" s="82" t="n">
        <v>44</v>
      </c>
      <c r="B49" s="82" t="inlineStr">
        <is>
          <t>S4–S6</t>
        </is>
      </c>
      <c r="C49" s="82" t="inlineStr">
        <is>
          <t>S5</t>
        </is>
      </c>
      <c r="D49" s="87" t="inlineStr">
        <is>
          <t>中文科</t>
        </is>
      </c>
      <c r="E49" s="88" t="inlineStr">
        <is>
          <t>AI 與數碼素養</t>
        </is>
      </c>
      <c r="F49" s="88" t="inlineStr">
        <is>
          <t>初稿嚴格落實「離線紙筆構思」，僅在修訂期引入 AI 激發反方論點；完整保留 Prompt 與版本日誌</t>
        </is>
      </c>
      <c r="G49" s="88" t="inlineStr">
        <is>
          <t>離線初稿手稿、AI 修訂版本比對表、防外包承諾書</t>
        </is>
      </c>
      <c r="H49" s="89" t="inlineStr">
        <is>
          <t>未檢視</t>
        </is>
      </c>
      <c r="I49" s="90">
        <f>IF(H49="未出現",0,IF(H49="部分出現",1,IF(H49="穩定出現",2,"")))</f>
        <v/>
      </c>
      <c r="J49" s="87" t="str"/>
      <c r="K49" s="88" t="str"/>
      <c r="L49" s="48" t="str"/>
      <c r="M49" s="48" t="str"/>
      <c r="N49" s="48" t="str"/>
      <c r="O49" s="92" t="n"/>
    </row>
    <row r="50" ht="42" customHeight="1">
      <c r="A50" s="82" t="n">
        <v>45</v>
      </c>
      <c r="B50" s="82" t="inlineStr">
        <is>
          <t>S4–S6</t>
        </is>
      </c>
      <c r="C50" s="82" t="inlineStr">
        <is>
          <t>S6</t>
        </is>
      </c>
      <c r="D50" s="87" t="inlineStr">
        <is>
          <t>中文科</t>
        </is>
      </c>
      <c r="E50" s="88" t="inlineStr">
        <is>
          <t>跨學科閱讀</t>
        </is>
      </c>
      <c r="F50" s="88" t="inlineStr">
        <is>
          <t>研讀跨領域長篇學術議論、經典文本與公共政策文獻，評估論據信度、邏輯漏洞與局限性</t>
        </is>
      </c>
      <c r="G50" s="88" t="inlineStr">
        <is>
          <t>批判性學術文獻短評、政策評析報告</t>
        </is>
      </c>
      <c r="H50" s="89" t="inlineStr">
        <is>
          <t>未檢視</t>
        </is>
      </c>
      <c r="I50" s="90">
        <f>IF(H50="未出現",0,IF(H50="部分出現",1,IF(H50="穩定出現",2,"")))</f>
        <v/>
      </c>
      <c r="J50" s="87" t="str"/>
      <c r="K50" s="88" t="str"/>
      <c r="L50" s="48" t="str"/>
      <c r="M50" s="48" t="str"/>
      <c r="N50" s="48" t="str"/>
      <c r="O50" s="92" t="n"/>
    </row>
    <row r="51" ht="42" customHeight="1">
      <c r="A51" s="82" t="n">
        <v>46</v>
      </c>
      <c r="B51" s="82" t="inlineStr">
        <is>
          <t>S4–S6</t>
        </is>
      </c>
      <c r="C51" s="82" t="inlineStr">
        <is>
          <t>S6</t>
        </is>
      </c>
      <c r="D51" s="87" t="inlineStr">
        <is>
          <t>中文科</t>
        </is>
      </c>
      <c r="E51" s="88" t="inlineStr">
        <is>
          <t>證據推理</t>
        </is>
      </c>
      <c r="F51" s="88" t="inlineStr">
        <is>
          <t>針對爭議性議題開展多維度論辯，辨析背後利益關聯與價值預設，提出具反駁性之論證</t>
        </is>
      </c>
      <c r="G51" s="88" t="inlineStr">
        <is>
          <t>專題論文、同儕答辯紀錄與論文改進稿</t>
        </is>
      </c>
      <c r="H51" s="89" t="inlineStr">
        <is>
          <t>未檢視</t>
        </is>
      </c>
      <c r="I51" s="90">
        <f>IF(H51="未出現",0,IF(H51="部分出現",1,IF(H51="穩定出現",2,"")))</f>
        <v/>
      </c>
      <c r="J51" s="87" t="str"/>
      <c r="K51" s="88" t="str"/>
      <c r="L51" s="48" t="str"/>
      <c r="M51" s="48" t="str"/>
      <c r="N51" s="48" t="str"/>
      <c r="O51" s="92" t="n"/>
    </row>
    <row r="52" ht="42" customHeight="1">
      <c r="A52" s="82" t="n">
        <v>47</v>
      </c>
      <c r="B52" s="82" t="inlineStr">
        <is>
          <t>S4–S6</t>
        </is>
      </c>
      <c r="C52" s="82" t="inlineStr">
        <is>
          <t>S6</t>
        </is>
      </c>
      <c r="D52" s="87" t="inlineStr">
        <is>
          <t>中文科</t>
        </is>
      </c>
      <c r="E52" s="88" t="inlineStr">
        <is>
          <t>解難與建模</t>
        </is>
      </c>
      <c r="F52" s="88" t="inlineStr">
        <is>
          <t>複雜文化/社會情境之專題探究與創意策劃，建立綜合表述模型，反思實施邊界</t>
        </is>
      </c>
      <c r="G52" s="88" t="inlineStr">
        <is>
          <t>文化專題深究成果、學術論文初稿</t>
        </is>
      </c>
      <c r="H52" s="89" t="inlineStr">
        <is>
          <t>未檢視</t>
        </is>
      </c>
      <c r="I52" s="90">
        <f>IF(H52="未出現",0,IF(H52="部分出現",1,IF(H52="穩定出現",2,"")))</f>
        <v/>
      </c>
      <c r="J52" s="87" t="str"/>
      <c r="K52" s="88" t="str"/>
      <c r="L52" s="48" t="str"/>
      <c r="M52" s="48" t="str"/>
      <c r="N52" s="48" t="str"/>
      <c r="O52" s="92" t="n"/>
    </row>
    <row r="53" ht="42" customHeight="1">
      <c r="A53" s="82" t="n">
        <v>48</v>
      </c>
      <c r="B53" s="82" t="inlineStr">
        <is>
          <t>S4–S6</t>
        </is>
      </c>
      <c r="C53" s="82" t="inlineStr">
        <is>
          <t>S6</t>
        </is>
      </c>
      <c r="D53" s="87" t="inlineStr">
        <is>
          <t>中文科</t>
        </is>
      </c>
      <c r="E53" s="88" t="inlineStr">
        <is>
          <t>AI 與數碼素養</t>
        </is>
      </c>
      <c r="F53" s="88" t="inlineStr">
        <is>
          <t>初稿嚴格落實「離線紙筆構思」，僅在修訂期引入 AI 激發反方論點；完整保留 Prompt 與版本日誌</t>
        </is>
      </c>
      <c r="G53" s="88" t="inlineStr">
        <is>
          <t>離線初稿手稿、AI 修訂版本比對表、防外包承諾書</t>
        </is>
      </c>
      <c r="H53" s="89" t="inlineStr">
        <is>
          <t>未檢視</t>
        </is>
      </c>
      <c r="I53" s="90">
        <f>IF(H53="未出現",0,IF(H53="部分出現",1,IF(H53="穩定出現",2,"")))</f>
        <v/>
      </c>
      <c r="J53" s="87" t="str"/>
      <c r="K53" s="88" t="str"/>
      <c r="L53" s="48" t="str"/>
      <c r="M53" s="48" t="str"/>
      <c r="N53" s="48" t="str"/>
      <c r="O53" s="92" t="n"/>
    </row>
    <row r="54" ht="42" customHeight="1">
      <c r="A54" s="82" t="n">
        <v>49</v>
      </c>
      <c r="B54" s="82" t="inlineStr">
        <is>
          <t>P1–P3</t>
        </is>
      </c>
      <c r="C54" s="82" t="inlineStr">
        <is>
          <t>P1</t>
        </is>
      </c>
      <c r="D54" s="87" t="inlineStr">
        <is>
          <t>英文科</t>
        </is>
      </c>
      <c r="E54" s="88" t="inlineStr">
        <is>
          <t>跨學科閱讀</t>
        </is>
      </c>
      <c r="F54" s="88" t="inlineStr">
        <is>
          <t>Locate explicit details from illustrated readers and multimodal charts, connecting pictures with key vocab</t>
        </is>
      </c>
      <c r="G54" s="88" t="inlineStr">
        <is>
          <t>Illustrated reader comprehension sheets, visual matching tasks</t>
        </is>
      </c>
      <c r="H54" s="89" t="inlineStr">
        <is>
          <t>未檢視</t>
        </is>
      </c>
      <c r="I54" s="90">
        <f>IF(H54="未出現",0,IF(H54="部分出現",1,IF(H54="穩定出現",2,"")))</f>
        <v/>
      </c>
      <c r="J54" s="87" t="n"/>
      <c r="K54" s="88" t="n"/>
      <c r="L54" s="48" t="n"/>
      <c r="M54" s="48" t="n"/>
      <c r="N54" s="48" t="n"/>
      <c r="O54" s="92" t="n"/>
    </row>
    <row r="55" ht="42" customHeight="1">
      <c r="A55" s="82" t="n">
        <v>50</v>
      </c>
      <c r="B55" s="82" t="inlineStr">
        <is>
          <t>P1–P3</t>
        </is>
      </c>
      <c r="C55" s="82" t="inlineStr">
        <is>
          <t>P1</t>
        </is>
      </c>
      <c r="D55" s="87" t="inlineStr">
        <is>
          <t>英文科</t>
        </is>
      </c>
      <c r="E55" s="88" t="inlineStr">
        <is>
          <t>證據推理</t>
        </is>
      </c>
      <c r="F55" s="88" t="inlineStr">
        <is>
          <t>Support simple comprehension answers by pointing to direct sentences or picture clues with sentence frames</t>
        </is>
      </c>
      <c r="G55" s="88" t="inlineStr">
        <is>
          <t>Sentence frame worksheets ("I know because the text says...")</t>
        </is>
      </c>
      <c r="H55" s="89" t="inlineStr">
        <is>
          <t>未檢視</t>
        </is>
      </c>
      <c r="I55" s="90">
        <f>IF(H55="未出現",0,IF(H55="部分出現",1,IF(H55="穩定出現",2,"")))</f>
        <v/>
      </c>
      <c r="J55" s="87" t="n"/>
      <c r="K55" s="88" t="n"/>
      <c r="L55" s="48" t="n"/>
      <c r="M55" s="48" t="n"/>
      <c r="N55" s="48" t="n"/>
      <c r="O55" s="92" t="n"/>
    </row>
    <row r="56" ht="42" customHeight="1">
      <c r="A56" s="82" t="n">
        <v>51</v>
      </c>
      <c r="B56" s="82" t="inlineStr">
        <is>
          <t>P1–P3</t>
        </is>
      </c>
      <c r="C56" s="82" t="inlineStr">
        <is>
          <t>P1</t>
        </is>
      </c>
      <c r="D56" s="87" t="inlineStr">
        <is>
          <t>英文科</t>
        </is>
      </c>
      <c r="E56" s="88" t="inlineStr">
        <is>
          <t>解難與建模</t>
        </is>
      </c>
      <c r="F56" s="88" t="inlineStr">
        <is>
          <t>Sequence events in problem-solving stories and propose alternative character actions to resolve conflicts</t>
        </is>
      </c>
      <c r="G56" s="88" t="inlineStr">
        <is>
          <t>Story sequencing cards, creative problem-solving dialogues</t>
        </is>
      </c>
      <c r="H56" s="89" t="inlineStr">
        <is>
          <t>未檢視</t>
        </is>
      </c>
      <c r="I56" s="90">
        <f>IF(H56="未出現",0,IF(H56="部分出現",1,IF(H56="穩定出現",2,"")))</f>
        <v/>
      </c>
      <c r="J56" s="87" t="n"/>
      <c r="K56" s="88" t="n"/>
      <c r="L56" s="48" t="n"/>
      <c r="M56" s="48" t="n"/>
      <c r="N56" s="48" t="n"/>
      <c r="O56" s="92" t="n"/>
    </row>
    <row r="57" ht="42" customHeight="1">
      <c r="A57" s="82" t="n">
        <v>52</v>
      </c>
      <c r="B57" s="82" t="inlineStr">
        <is>
          <t>P1–P3</t>
        </is>
      </c>
      <c r="C57" s="82" t="inlineStr">
        <is>
          <t>P1</t>
        </is>
      </c>
      <c r="D57" s="87" t="inlineStr">
        <is>
          <t>英文科</t>
        </is>
      </c>
      <c r="E57" s="88" t="inlineStr">
        <is>
          <t>AI 與數碼素養</t>
        </is>
      </c>
      <c r="F57" s="88" t="inlineStr">
        <is>
          <t>Under teacher guidance, explore digital phonics tools; maintain screen-down discipline during group reading</t>
        </is>
      </c>
      <c r="G57" s="88" t="inlineStr">
        <is>
          <t>Classroom screen-down observation logs, interactive phonics tasks</t>
        </is>
      </c>
      <c r="H57" s="89" t="inlineStr">
        <is>
          <t>未檢視</t>
        </is>
      </c>
      <c r="I57" s="90">
        <f>IF(H57="未出現",0,IF(H57="部分出現",1,IF(H57="穩定出現",2,"")))</f>
        <v/>
      </c>
      <c r="J57" s="87" t="n"/>
      <c r="K57" s="88" t="n"/>
      <c r="L57" s="48" t="n"/>
      <c r="M57" s="48" t="n"/>
      <c r="N57" s="48" t="n"/>
      <c r="O57" s="92" t="n"/>
    </row>
    <row r="58" ht="42" customHeight="1">
      <c r="A58" s="82" t="n">
        <v>53</v>
      </c>
      <c r="B58" s="82" t="inlineStr">
        <is>
          <t>P1–P3</t>
        </is>
      </c>
      <c r="C58" s="82" t="inlineStr">
        <is>
          <t>P2</t>
        </is>
      </c>
      <c r="D58" s="87" t="inlineStr">
        <is>
          <t>英文科</t>
        </is>
      </c>
      <c r="E58" s="88" t="inlineStr">
        <is>
          <t>跨學科閱讀</t>
        </is>
      </c>
      <c r="F58" s="88" t="inlineStr">
        <is>
          <t>Locate explicit details from illustrated readers and multimodal charts, connecting pictures with key vocab</t>
        </is>
      </c>
      <c r="G58" s="88" t="inlineStr">
        <is>
          <t>Illustrated reader comprehension sheets, visual matching tasks</t>
        </is>
      </c>
      <c r="H58" s="89" t="inlineStr">
        <is>
          <t>未檢視</t>
        </is>
      </c>
      <c r="I58" s="90">
        <f>IF(H58="未出現",0,IF(H58="部分出現",1,IF(H58="穩定出現",2,"")))</f>
        <v/>
      </c>
      <c r="J58" s="87" t="n"/>
      <c r="K58" s="88" t="n"/>
      <c r="L58" s="48" t="n"/>
      <c r="M58" s="48" t="n"/>
      <c r="N58" s="48" t="n"/>
      <c r="O58" s="92" t="n"/>
    </row>
    <row r="59" ht="42" customHeight="1">
      <c r="A59" s="82" t="n">
        <v>54</v>
      </c>
      <c r="B59" s="82" t="inlineStr">
        <is>
          <t>P1–P3</t>
        </is>
      </c>
      <c r="C59" s="82" t="inlineStr">
        <is>
          <t>P2</t>
        </is>
      </c>
      <c r="D59" s="87" t="inlineStr">
        <is>
          <t>英文科</t>
        </is>
      </c>
      <c r="E59" s="88" t="inlineStr">
        <is>
          <t>證據推理</t>
        </is>
      </c>
      <c r="F59" s="88" t="inlineStr">
        <is>
          <t>Support simple comprehension answers by pointing to direct sentences or picture clues with sentence frames</t>
        </is>
      </c>
      <c r="G59" s="88" t="inlineStr">
        <is>
          <t>Sentence frame worksheets ("I know because the text says...")</t>
        </is>
      </c>
      <c r="H59" s="89" t="inlineStr">
        <is>
          <t>未檢視</t>
        </is>
      </c>
      <c r="I59" s="90">
        <f>IF(H59="未出現",0,IF(H59="部分出現",1,IF(H59="穩定出現",2,"")))</f>
        <v/>
      </c>
      <c r="J59" s="87" t="n"/>
      <c r="K59" s="88" t="n"/>
      <c r="L59" s="48" t="n"/>
      <c r="M59" s="48" t="n"/>
      <c r="N59" s="48" t="n"/>
      <c r="O59" s="92" t="n"/>
    </row>
    <row r="60" ht="42" customHeight="1">
      <c r="A60" s="82" t="n">
        <v>55</v>
      </c>
      <c r="B60" s="82" t="inlineStr">
        <is>
          <t>P1–P3</t>
        </is>
      </c>
      <c r="C60" s="82" t="inlineStr">
        <is>
          <t>P2</t>
        </is>
      </c>
      <c r="D60" s="87" t="inlineStr">
        <is>
          <t>英文科</t>
        </is>
      </c>
      <c r="E60" s="88" t="inlineStr">
        <is>
          <t>解難與建模</t>
        </is>
      </c>
      <c r="F60" s="88" t="inlineStr">
        <is>
          <t>Sequence events in problem-solving stories and propose alternative character actions to resolve conflicts</t>
        </is>
      </c>
      <c r="G60" s="88" t="inlineStr">
        <is>
          <t>Story sequencing cards, creative problem-solving dialogues</t>
        </is>
      </c>
      <c r="H60" s="89" t="inlineStr">
        <is>
          <t>未檢視</t>
        </is>
      </c>
      <c r="I60" s="90">
        <f>IF(H60="未出現",0,IF(H60="部分出現",1,IF(H60="穩定出現",2,"")))</f>
        <v/>
      </c>
      <c r="J60" s="87" t="n"/>
      <c r="K60" s="88" t="n"/>
      <c r="L60" s="48" t="n"/>
      <c r="M60" s="48" t="n"/>
      <c r="N60" s="48" t="n"/>
      <c r="O60" s="92" t="n"/>
    </row>
    <row r="61" ht="42" customHeight="1">
      <c r="A61" s="82" t="n">
        <v>56</v>
      </c>
      <c r="B61" s="82" t="inlineStr">
        <is>
          <t>P1–P3</t>
        </is>
      </c>
      <c r="C61" s="82" t="inlineStr">
        <is>
          <t>P2</t>
        </is>
      </c>
      <c r="D61" s="87" t="inlineStr">
        <is>
          <t>英文科</t>
        </is>
      </c>
      <c r="E61" s="88" t="inlineStr">
        <is>
          <t>AI 與數碼素養</t>
        </is>
      </c>
      <c r="F61" s="88" t="inlineStr">
        <is>
          <t>Under teacher guidance, explore digital phonics tools; maintain screen-down discipline during group reading</t>
        </is>
      </c>
      <c r="G61" s="88" t="inlineStr">
        <is>
          <t>Classroom screen-down observation logs, interactive phonics tasks</t>
        </is>
      </c>
      <c r="H61" s="89" t="inlineStr">
        <is>
          <t>未檢視</t>
        </is>
      </c>
      <c r="I61" s="90">
        <f>IF(H61="未出現",0,IF(H61="部分出現",1,IF(H61="穩定出現",2,"")))</f>
        <v/>
      </c>
      <c r="J61" s="87" t="n"/>
      <c r="K61" s="88" t="n"/>
      <c r="L61" s="48" t="n"/>
      <c r="M61" s="48" t="n"/>
      <c r="N61" s="48" t="n"/>
      <c r="O61" s="92" t="n"/>
    </row>
    <row r="62" ht="42" customHeight="1">
      <c r="A62" s="82" t="n">
        <v>57</v>
      </c>
      <c r="B62" s="82" t="inlineStr">
        <is>
          <t>P1–P3</t>
        </is>
      </c>
      <c r="C62" s="82" t="inlineStr">
        <is>
          <t>P3</t>
        </is>
      </c>
      <c r="D62" s="87" t="inlineStr">
        <is>
          <t>英文科</t>
        </is>
      </c>
      <c r="E62" s="88" t="inlineStr">
        <is>
          <t>跨學科閱讀</t>
        </is>
      </c>
      <c r="F62" s="88" t="inlineStr">
        <is>
          <t>Locate explicit details from illustrated readers and multimodal charts, connecting pictures with key vocab</t>
        </is>
      </c>
      <c r="G62" s="88" t="inlineStr">
        <is>
          <t>Illustrated reader comprehension sheets, visual matching tasks</t>
        </is>
      </c>
      <c r="H62" s="89" t="inlineStr">
        <is>
          <t>未檢視</t>
        </is>
      </c>
      <c r="I62" s="90">
        <f>IF(H62="未出現",0,IF(H62="部分出現",1,IF(H62="穩定出現",2,"")))</f>
        <v/>
      </c>
      <c r="J62" s="87" t="n"/>
      <c r="K62" s="88" t="n"/>
      <c r="L62" s="48" t="n"/>
      <c r="M62" s="48" t="n"/>
      <c r="N62" s="48" t="n"/>
      <c r="O62" s="92" t="n"/>
    </row>
    <row r="63" ht="42" customHeight="1">
      <c r="A63" s="82" t="n">
        <v>58</v>
      </c>
      <c r="B63" s="82" t="inlineStr">
        <is>
          <t>P1–P3</t>
        </is>
      </c>
      <c r="C63" s="82" t="inlineStr">
        <is>
          <t>P3</t>
        </is>
      </c>
      <c r="D63" s="87" t="inlineStr">
        <is>
          <t>英文科</t>
        </is>
      </c>
      <c r="E63" s="88" t="inlineStr">
        <is>
          <t>證據推理</t>
        </is>
      </c>
      <c r="F63" s="88" t="inlineStr">
        <is>
          <t>Support simple comprehension answers by pointing to direct sentences or picture clues with sentence frames</t>
        </is>
      </c>
      <c r="G63" s="88" t="inlineStr">
        <is>
          <t>Sentence frame worksheets ("I know because the text says...")</t>
        </is>
      </c>
      <c r="H63" s="89" t="inlineStr">
        <is>
          <t>未檢視</t>
        </is>
      </c>
      <c r="I63" s="90">
        <f>IF(H63="未出現",0,IF(H63="部分出現",1,IF(H63="穩定出現",2,"")))</f>
        <v/>
      </c>
      <c r="J63" s="87" t="n"/>
      <c r="K63" s="88" t="n"/>
      <c r="L63" s="48" t="n"/>
      <c r="M63" s="48" t="n"/>
      <c r="N63" s="48" t="n"/>
      <c r="O63" s="92" t="n"/>
    </row>
    <row r="64" ht="42" customHeight="1">
      <c r="A64" s="82" t="n">
        <v>59</v>
      </c>
      <c r="B64" s="82" t="inlineStr">
        <is>
          <t>P1–P3</t>
        </is>
      </c>
      <c r="C64" s="82" t="inlineStr">
        <is>
          <t>P3</t>
        </is>
      </c>
      <c r="D64" s="87" t="inlineStr">
        <is>
          <t>英文科</t>
        </is>
      </c>
      <c r="E64" s="88" t="inlineStr">
        <is>
          <t>解難與建模</t>
        </is>
      </c>
      <c r="F64" s="88" t="inlineStr">
        <is>
          <t>Sequence events in problem-solving stories and propose alternative character actions to resolve conflicts</t>
        </is>
      </c>
      <c r="G64" s="88" t="inlineStr">
        <is>
          <t>Story sequencing cards, creative problem-solving dialogues</t>
        </is>
      </c>
      <c r="H64" s="89" t="inlineStr">
        <is>
          <t>未檢視</t>
        </is>
      </c>
      <c r="I64" s="90">
        <f>IF(H64="未出現",0,IF(H64="部分出現",1,IF(H64="穩定出現",2,"")))</f>
        <v/>
      </c>
      <c r="J64" s="87" t="n"/>
      <c r="K64" s="88" t="n"/>
      <c r="L64" s="48" t="n"/>
      <c r="M64" s="48" t="n"/>
      <c r="N64" s="48" t="n"/>
      <c r="O64" s="92" t="n"/>
    </row>
    <row r="65" ht="42" customHeight="1">
      <c r="A65" s="82" t="n">
        <v>60</v>
      </c>
      <c r="B65" s="82" t="inlineStr">
        <is>
          <t>P1–P3</t>
        </is>
      </c>
      <c r="C65" s="82" t="inlineStr">
        <is>
          <t>P3</t>
        </is>
      </c>
      <c r="D65" s="87" t="inlineStr">
        <is>
          <t>英文科</t>
        </is>
      </c>
      <c r="E65" s="88" t="inlineStr">
        <is>
          <t>AI 與數碼素養</t>
        </is>
      </c>
      <c r="F65" s="88" t="inlineStr">
        <is>
          <t>Under teacher guidance, explore digital phonics tools; maintain screen-down discipline during group reading</t>
        </is>
      </c>
      <c r="G65" s="88" t="inlineStr">
        <is>
          <t>Classroom screen-down observation logs, interactive phonics tasks</t>
        </is>
      </c>
      <c r="H65" s="89" t="inlineStr">
        <is>
          <t>未檢視</t>
        </is>
      </c>
      <c r="I65" s="90">
        <f>IF(H65="未出現",0,IF(H65="部分出現",1,IF(H65="穩定出現",2,"")))</f>
        <v/>
      </c>
      <c r="J65" s="87" t="n"/>
      <c r="K65" s="88" t="n"/>
      <c r="L65" s="48" t="n"/>
      <c r="M65" s="48" t="n"/>
      <c r="N65" s="48" t="n"/>
      <c r="O65" s="92" t="n"/>
    </row>
    <row r="66" ht="42" customHeight="1">
      <c r="A66" s="82" t="n">
        <v>61</v>
      </c>
      <c r="B66" s="82" t="inlineStr">
        <is>
          <t>P4–P6</t>
        </is>
      </c>
      <c r="C66" s="82" t="inlineStr">
        <is>
          <t>P4</t>
        </is>
      </c>
      <c r="D66" s="87" t="inlineStr">
        <is>
          <t>英文科</t>
        </is>
      </c>
      <c r="E66" s="88" t="inlineStr">
        <is>
          <t>跨學科閱讀</t>
        </is>
      </c>
      <c r="F66" s="88" t="inlineStr">
        <is>
          <t>Read authentic non-fiction texts (infographics, simple brochures), synthesizing info across dual sources</t>
        </is>
      </c>
      <c r="G66" s="88" t="inlineStr">
        <is>
          <t>Dual-source reading summary notes, graphic organizers</t>
        </is>
      </c>
      <c r="H66" s="89" t="inlineStr">
        <is>
          <t>未檢視</t>
        </is>
      </c>
      <c r="I66" s="90">
        <f>IF(H66="未出現",0,IF(H66="部分出現",1,IF(H66="穩定出現",2,"")))</f>
        <v/>
      </c>
      <c r="J66" s="87" t="n"/>
      <c r="K66" s="88" t="n"/>
      <c r="L66" s="48" t="n"/>
      <c r="M66" s="48" t="n"/>
      <c r="N66" s="48" t="n"/>
      <c r="O66" s="92" t="n"/>
    </row>
    <row r="67" ht="42" customHeight="1">
      <c r="A67" s="82" t="n">
        <v>62</v>
      </c>
      <c r="B67" s="82" t="inlineStr">
        <is>
          <t>P4–P6</t>
        </is>
      </c>
      <c r="C67" s="82" t="inlineStr">
        <is>
          <t>P4</t>
        </is>
      </c>
      <c r="D67" s="87" t="inlineStr">
        <is>
          <t>英文科</t>
        </is>
      </c>
      <c r="E67" s="88" t="inlineStr">
        <is>
          <t>證據推理</t>
        </is>
      </c>
      <c r="F67" s="88" t="inlineStr">
        <is>
          <t>Distinguish facts from opinions in authentic articles, citing quantitative data or descriptive text as evidence</t>
        </is>
      </c>
      <c r="G67" s="88" t="inlineStr">
        <is>
          <t>Fact vs Opinion sorting sheets, reading response paragraphs</t>
        </is>
      </c>
      <c r="H67" s="89" t="inlineStr">
        <is>
          <t>未檢視</t>
        </is>
      </c>
      <c r="I67" s="90">
        <f>IF(H67="未出現",0,IF(H67="部分出現",1,IF(H67="穩定出現",2,"")))</f>
        <v/>
      </c>
      <c r="J67" s="87" t="n"/>
      <c r="K67" s="88" t="n"/>
      <c r="L67" s="48" t="n"/>
      <c r="M67" s="48" t="n"/>
      <c r="N67" s="48" t="n"/>
      <c r="O67" s="92" t="n"/>
    </row>
    <row r="68" ht="42" customHeight="1">
      <c r="A68" s="82" t="n">
        <v>63</v>
      </c>
      <c r="B68" s="82" t="inlineStr">
        <is>
          <t>P4–P6</t>
        </is>
      </c>
      <c r="C68" s="82" t="inlineStr">
        <is>
          <t>P4</t>
        </is>
      </c>
      <c r="D68" s="87" t="inlineStr">
        <is>
          <t>英文科</t>
        </is>
      </c>
      <c r="E68" s="88" t="inlineStr">
        <is>
          <t>解難與建模</t>
        </is>
      </c>
      <c r="F68" s="88" t="inlineStr">
        <is>
          <t>Apply reading insights to craft communicative solutions (e.g. school posters, event invitation letters)</t>
        </is>
      </c>
      <c r="G68" s="88" t="inlineStr">
        <is>
          <t>Authentic task drafts (letters, brochures) with revision logs</t>
        </is>
      </c>
      <c r="H68" s="89" t="inlineStr">
        <is>
          <t>未檢視</t>
        </is>
      </c>
      <c r="I68" s="90">
        <f>IF(H68="未出現",0,IF(H68="部分出現",1,IF(H68="穩定出現",2,"")))</f>
        <v/>
      </c>
      <c r="J68" s="87" t="n"/>
      <c r="K68" s="88" t="n"/>
      <c r="L68" s="48" t="n"/>
      <c r="M68" s="48" t="n"/>
      <c r="N68" s="48" t="n"/>
      <c r="O68" s="92" t="n"/>
    </row>
    <row r="69" ht="42" customHeight="1">
      <c r="A69" s="82" t="n">
        <v>64</v>
      </c>
      <c r="B69" s="82" t="inlineStr">
        <is>
          <t>P4–P6</t>
        </is>
      </c>
      <c r="C69" s="82" t="inlineStr">
        <is>
          <t>P4</t>
        </is>
      </c>
      <c r="D69" s="87" t="inlineStr">
        <is>
          <t>英文科</t>
        </is>
      </c>
      <c r="E69" s="88" t="inlineStr">
        <is>
          <t>AI 與數碼素養</t>
        </is>
      </c>
      <c r="F69" s="88" t="inlineStr">
        <is>
          <t>Use digital learner dictionaries for collocation checks; strictly prohibit full-sentence automated translation</t>
        </is>
      </c>
      <c r="G69" s="88" t="inlineStr">
        <is>
          <t>Collocation tracking sheets, offline draft vs digital check notes</t>
        </is>
      </c>
      <c r="H69" s="89" t="inlineStr">
        <is>
          <t>未檢視</t>
        </is>
      </c>
      <c r="I69" s="90">
        <f>IF(H69="未出現",0,IF(H69="部分出現",1,IF(H69="穩定出現",2,"")))</f>
        <v/>
      </c>
      <c r="J69" s="87" t="n"/>
      <c r="K69" s="88" t="n"/>
      <c r="L69" s="48" t="n"/>
      <c r="M69" s="48" t="n"/>
      <c r="N69" s="48" t="n"/>
      <c r="O69" s="92" t="n"/>
    </row>
    <row r="70" ht="42" customHeight="1">
      <c r="A70" s="82" t="n">
        <v>65</v>
      </c>
      <c r="B70" s="82" t="inlineStr">
        <is>
          <t>P4–P6</t>
        </is>
      </c>
      <c r="C70" s="82" t="inlineStr">
        <is>
          <t>P5</t>
        </is>
      </c>
      <c r="D70" s="87" t="inlineStr">
        <is>
          <t>英文科</t>
        </is>
      </c>
      <c r="E70" s="88" t="inlineStr">
        <is>
          <t>跨學科閱讀</t>
        </is>
      </c>
      <c r="F70" s="88" t="inlineStr">
        <is>
          <t>Read authentic non-fiction texts (infographics, simple brochures), synthesizing info across dual sources</t>
        </is>
      </c>
      <c r="G70" s="88" t="inlineStr">
        <is>
          <t>Dual-source reading summary notes, graphic organizers</t>
        </is>
      </c>
      <c r="H70" s="89" t="inlineStr">
        <is>
          <t>未檢視</t>
        </is>
      </c>
      <c r="I70" s="90">
        <f>IF(H70="未出現",0,IF(H70="部分出現",1,IF(H70="穩定出現",2,"")))</f>
        <v/>
      </c>
      <c r="J70" s="87" t="n"/>
      <c r="K70" s="88" t="n"/>
      <c r="L70" s="48" t="n"/>
      <c r="M70" s="48" t="n"/>
      <c r="N70" s="48" t="n"/>
      <c r="O70" s="92" t="n"/>
    </row>
    <row r="71" ht="42" customHeight="1">
      <c r="A71" s="82" t="n">
        <v>66</v>
      </c>
      <c r="B71" s="82" t="inlineStr">
        <is>
          <t>P4–P6</t>
        </is>
      </c>
      <c r="C71" s="82" t="inlineStr">
        <is>
          <t>P5</t>
        </is>
      </c>
      <c r="D71" s="87" t="inlineStr">
        <is>
          <t>英文科</t>
        </is>
      </c>
      <c r="E71" s="88" t="inlineStr">
        <is>
          <t>證據推理</t>
        </is>
      </c>
      <c r="F71" s="88" t="inlineStr">
        <is>
          <t>Distinguish facts from opinions in authentic articles, citing quantitative data or descriptive text as evidence</t>
        </is>
      </c>
      <c r="G71" s="88" t="inlineStr">
        <is>
          <t>Fact vs Opinion sorting sheets, reading response paragraphs</t>
        </is>
      </c>
      <c r="H71" s="89" t="inlineStr">
        <is>
          <t>未檢視</t>
        </is>
      </c>
      <c r="I71" s="90">
        <f>IF(H71="未出現",0,IF(H71="部分出現",1,IF(H71="穩定出現",2,"")))</f>
        <v/>
      </c>
      <c r="J71" s="87" t="n"/>
      <c r="K71" s="88" t="n"/>
      <c r="L71" s="48" t="n"/>
      <c r="M71" s="48" t="n"/>
      <c r="N71" s="48" t="n"/>
      <c r="O71" s="92" t="n"/>
    </row>
    <row r="72" ht="42" customHeight="1">
      <c r="A72" s="82" t="n">
        <v>67</v>
      </c>
      <c r="B72" s="82" t="inlineStr">
        <is>
          <t>P4–P6</t>
        </is>
      </c>
      <c r="C72" s="82" t="inlineStr">
        <is>
          <t>P5</t>
        </is>
      </c>
      <c r="D72" s="87" t="inlineStr">
        <is>
          <t>英文科</t>
        </is>
      </c>
      <c r="E72" s="88" t="inlineStr">
        <is>
          <t>解難與建模</t>
        </is>
      </c>
      <c r="F72" s="88" t="inlineStr">
        <is>
          <t>Apply reading insights to craft communicative solutions (e.g. school posters, event invitation letters)</t>
        </is>
      </c>
      <c r="G72" s="88" t="inlineStr">
        <is>
          <t>Authentic task drafts (letters, brochures) with revision logs</t>
        </is>
      </c>
      <c r="H72" s="89" t="inlineStr">
        <is>
          <t>未檢視</t>
        </is>
      </c>
      <c r="I72" s="90">
        <f>IF(H72="未出現",0,IF(H72="部分出現",1,IF(H72="穩定出現",2,"")))</f>
        <v/>
      </c>
      <c r="J72" s="87" t="n"/>
      <c r="K72" s="88" t="n"/>
      <c r="L72" s="48" t="n"/>
      <c r="M72" s="48" t="n"/>
      <c r="N72" s="48" t="n"/>
      <c r="O72" s="92" t="n"/>
    </row>
    <row r="73" ht="42" customHeight="1">
      <c r="A73" s="82" t="n">
        <v>68</v>
      </c>
      <c r="B73" s="82" t="inlineStr">
        <is>
          <t>P4–P6</t>
        </is>
      </c>
      <c r="C73" s="82" t="inlineStr">
        <is>
          <t>P5</t>
        </is>
      </c>
      <c r="D73" s="87" t="inlineStr">
        <is>
          <t>英文科</t>
        </is>
      </c>
      <c r="E73" s="88" t="inlineStr">
        <is>
          <t>AI 與數碼素養</t>
        </is>
      </c>
      <c r="F73" s="88" t="inlineStr">
        <is>
          <t>Use digital learner dictionaries for collocation checks; strictly prohibit full-sentence automated translation</t>
        </is>
      </c>
      <c r="G73" s="88" t="inlineStr">
        <is>
          <t>Collocation tracking sheets, offline draft vs digital check notes</t>
        </is>
      </c>
      <c r="H73" s="89" t="inlineStr">
        <is>
          <t>未檢視</t>
        </is>
      </c>
      <c r="I73" s="90">
        <f>IF(H73="未出現",0,IF(H73="部分出現",1,IF(H73="穩定出現",2,"")))</f>
        <v/>
      </c>
      <c r="J73" s="87" t="n"/>
      <c r="K73" s="88" t="n"/>
      <c r="L73" s="48" t="n"/>
      <c r="M73" s="48" t="n"/>
      <c r="N73" s="48" t="n"/>
      <c r="O73" s="92" t="n"/>
    </row>
    <row r="74" ht="42" customHeight="1">
      <c r="A74" s="82" t="n">
        <v>69</v>
      </c>
      <c r="B74" s="82" t="inlineStr">
        <is>
          <t>P4–P6</t>
        </is>
      </c>
      <c r="C74" s="82" t="inlineStr">
        <is>
          <t>P6</t>
        </is>
      </c>
      <c r="D74" s="87" t="inlineStr">
        <is>
          <t>英文科</t>
        </is>
      </c>
      <c r="E74" s="88" t="inlineStr">
        <is>
          <t>跨學科閱讀</t>
        </is>
      </c>
      <c r="F74" s="88" t="inlineStr">
        <is>
          <t>Read authentic non-fiction texts (infographics, simple brochures), synthesizing info across dual sources</t>
        </is>
      </c>
      <c r="G74" s="88" t="inlineStr">
        <is>
          <t>Dual-source reading summary notes, graphic organizers</t>
        </is>
      </c>
      <c r="H74" s="89" t="inlineStr">
        <is>
          <t>未檢視</t>
        </is>
      </c>
      <c r="I74" s="90">
        <f>IF(H74="未出現",0,IF(H74="部分出現",1,IF(H74="穩定出現",2,"")))</f>
        <v/>
      </c>
      <c r="J74" s="87" t="n"/>
      <c r="K74" s="88" t="n"/>
      <c r="L74" s="48" t="n"/>
      <c r="M74" s="48" t="n"/>
      <c r="N74" s="48" t="n"/>
      <c r="O74" s="92" t="n"/>
    </row>
    <row r="75" ht="42" customHeight="1">
      <c r="A75" s="82" t="n">
        <v>70</v>
      </c>
      <c r="B75" s="82" t="inlineStr">
        <is>
          <t>P4–P6</t>
        </is>
      </c>
      <c r="C75" s="82" t="inlineStr">
        <is>
          <t>P6</t>
        </is>
      </c>
      <c r="D75" s="87" t="inlineStr">
        <is>
          <t>英文科</t>
        </is>
      </c>
      <c r="E75" s="88" t="inlineStr">
        <is>
          <t>證據推理</t>
        </is>
      </c>
      <c r="F75" s="88" t="inlineStr">
        <is>
          <t>Distinguish facts from opinions in authentic articles, citing quantitative data or descriptive text as evidence</t>
        </is>
      </c>
      <c r="G75" s="88" t="inlineStr">
        <is>
          <t>Fact vs Opinion sorting sheets, reading response paragraphs</t>
        </is>
      </c>
      <c r="H75" s="89" t="inlineStr">
        <is>
          <t>未檢視</t>
        </is>
      </c>
      <c r="I75" s="90">
        <f>IF(H75="未出現",0,IF(H75="部分出現",1,IF(H75="穩定出現",2,"")))</f>
        <v/>
      </c>
      <c r="J75" s="87" t="n"/>
      <c r="K75" s="88" t="n"/>
      <c r="L75" s="48" t="n"/>
      <c r="M75" s="48" t="n"/>
      <c r="N75" s="48" t="n"/>
      <c r="O75" s="92" t="n"/>
    </row>
    <row r="76" ht="42" customHeight="1">
      <c r="A76" s="82" t="n">
        <v>71</v>
      </c>
      <c r="B76" s="82" t="inlineStr">
        <is>
          <t>P4–P6</t>
        </is>
      </c>
      <c r="C76" s="82" t="inlineStr">
        <is>
          <t>P6</t>
        </is>
      </c>
      <c r="D76" s="87" t="inlineStr">
        <is>
          <t>英文科</t>
        </is>
      </c>
      <c r="E76" s="88" t="inlineStr">
        <is>
          <t>解難與建模</t>
        </is>
      </c>
      <c r="F76" s="88" t="inlineStr">
        <is>
          <t>Apply reading insights to craft communicative solutions (e.g. school posters, event invitation letters)</t>
        </is>
      </c>
      <c r="G76" s="88" t="inlineStr">
        <is>
          <t>Authentic task drafts (letters, brochures) with revision logs</t>
        </is>
      </c>
      <c r="H76" s="89" t="inlineStr">
        <is>
          <t>未檢視</t>
        </is>
      </c>
      <c r="I76" s="90">
        <f>IF(H76="未出現",0,IF(H76="部分出現",1,IF(H76="穩定出現",2,"")))</f>
        <v/>
      </c>
      <c r="J76" s="87" t="n"/>
      <c r="K76" s="88" t="n"/>
      <c r="L76" s="48" t="n"/>
      <c r="M76" s="48" t="n"/>
      <c r="N76" s="48" t="n"/>
      <c r="O76" s="92" t="n"/>
    </row>
    <row r="77" ht="42" customHeight="1">
      <c r="A77" s="82" t="n">
        <v>72</v>
      </c>
      <c r="B77" s="82" t="inlineStr">
        <is>
          <t>P4–P6</t>
        </is>
      </c>
      <c r="C77" s="82" t="inlineStr">
        <is>
          <t>P6</t>
        </is>
      </c>
      <c r="D77" s="87" t="inlineStr">
        <is>
          <t>英文科</t>
        </is>
      </c>
      <c r="E77" s="88" t="inlineStr">
        <is>
          <t>AI 與數碼素養</t>
        </is>
      </c>
      <c r="F77" s="88" t="inlineStr">
        <is>
          <t>Use digital learner dictionaries for collocation checks; strictly prohibit full-sentence automated translation</t>
        </is>
      </c>
      <c r="G77" s="88" t="inlineStr">
        <is>
          <t>Collocation tracking sheets, offline draft vs digital check notes</t>
        </is>
      </c>
      <c r="H77" s="89" t="inlineStr">
        <is>
          <t>未檢視</t>
        </is>
      </c>
      <c r="I77" s="90">
        <f>IF(H77="未出現",0,IF(H77="部分出現",1,IF(H77="穩定出現",2,"")))</f>
        <v/>
      </c>
      <c r="J77" s="87" t="n"/>
      <c r="K77" s="88" t="n"/>
      <c r="L77" s="48" t="n"/>
      <c r="M77" s="48" t="n"/>
      <c r="N77" s="48" t="n"/>
      <c r="O77" s="92" t="n"/>
    </row>
    <row r="78" ht="42" customHeight="1">
      <c r="A78" s="82" t="n">
        <v>73</v>
      </c>
      <c r="B78" s="82" t="inlineStr">
        <is>
          <t>S1–S3</t>
        </is>
      </c>
      <c r="C78" s="82" t="inlineStr">
        <is>
          <t>S1</t>
        </is>
      </c>
      <c r="D78" s="87" t="inlineStr">
        <is>
          <t>英文科</t>
        </is>
      </c>
      <c r="E78" s="88" t="inlineStr">
        <is>
          <t>跨學科閱讀</t>
        </is>
      </c>
      <c r="F78" s="88" t="inlineStr">
        <is>
          <t>Analyze authentic cross-curricular articles, science/social summaries; identify text structures and tone</t>
        </is>
      </c>
      <c r="G78" s="88" t="inlineStr">
        <is>
          <t>Annotated articles, disciplinary vocabulary logs, main idea maps</t>
        </is>
      </c>
      <c r="H78" s="89" t="inlineStr">
        <is>
          <t>未檢視</t>
        </is>
      </c>
      <c r="I78" s="90">
        <f>IF(H78="未出現",0,IF(H78="部分出現",1,IF(H78="穩定出現",2,"")))</f>
        <v/>
      </c>
      <c r="J78" s="87" t="n"/>
      <c r="K78" s="88" t="n"/>
      <c r="L78" s="48" t="n"/>
      <c r="M78" s="48" t="n"/>
      <c r="N78" s="48" t="n"/>
      <c r="O78" s="92" t="n"/>
    </row>
    <row r="79" ht="42" customHeight="1">
      <c r="A79" s="82" t="n">
        <v>74</v>
      </c>
      <c r="B79" s="82" t="inlineStr">
        <is>
          <t>S1–S3</t>
        </is>
      </c>
      <c r="C79" s="82" t="inlineStr">
        <is>
          <t>S1</t>
        </is>
      </c>
      <c r="D79" s="87" t="inlineStr">
        <is>
          <t>英文科</t>
        </is>
      </c>
      <c r="E79" s="88" t="inlineStr">
        <is>
          <t>證據推理</t>
        </is>
      </c>
      <c r="F79" s="88" t="inlineStr">
        <is>
          <t>Construct coherent CER (Claim-Evidence-Reasoning) arguments in writing; evaluate strength of textual evidence</t>
        </is>
      </c>
      <c r="G79" s="88" t="inlineStr">
        <is>
          <t>CER argumentative drafts, peer critique rubrics on evidence quality</t>
        </is>
      </c>
      <c r="H79" s="89" t="inlineStr">
        <is>
          <t>未檢視</t>
        </is>
      </c>
      <c r="I79" s="90">
        <f>IF(H79="未出現",0,IF(H79="部分出現",1,IF(H79="穩定出現",2,"")))</f>
        <v/>
      </c>
      <c r="J79" s="87" t="n"/>
      <c r="K79" s="88" t="n"/>
      <c r="L79" s="48" t="n"/>
      <c r="M79" s="48" t="n"/>
      <c r="N79" s="48" t="n"/>
      <c r="O79" s="92" t="n"/>
    </row>
    <row r="80" ht="42" customHeight="1">
      <c r="A80" s="82" t="n">
        <v>75</v>
      </c>
      <c r="B80" s="82" t="inlineStr">
        <is>
          <t>S1–S3</t>
        </is>
      </c>
      <c r="C80" s="82" t="inlineStr">
        <is>
          <t>S1</t>
        </is>
      </c>
      <c r="D80" s="87" t="inlineStr">
        <is>
          <t>英文科</t>
        </is>
      </c>
      <c r="E80" s="88" t="inlineStr">
        <is>
          <t>解難與建模</t>
        </is>
      </c>
      <c r="F80" s="88" t="inlineStr">
        <is>
          <t>Structure multi-paragraph problem-solution essays using genre-specific conventions; iterate based on feedback</t>
        </is>
      </c>
      <c r="G80" s="88" t="inlineStr">
        <is>
          <t>Problem-solution essays with rubric-guided revision drafts</t>
        </is>
      </c>
      <c r="H80" s="89" t="inlineStr">
        <is>
          <t>未檢視</t>
        </is>
      </c>
      <c r="I80" s="90">
        <f>IF(H80="未出現",0,IF(H80="部分出現",1,IF(H80="穩定出現",2,"")))</f>
        <v/>
      </c>
      <c r="J80" s="87" t="n"/>
      <c r="K80" s="88" t="n"/>
      <c r="L80" s="48" t="n"/>
      <c r="M80" s="48" t="n"/>
      <c r="N80" s="48" t="n"/>
      <c r="O80" s="92" t="n"/>
    </row>
    <row r="81" ht="42" customHeight="1">
      <c r="A81" s="82" t="n">
        <v>76</v>
      </c>
      <c r="B81" s="82" t="inlineStr">
        <is>
          <t>S1–S3</t>
        </is>
      </c>
      <c r="C81" s="82" t="inlineStr">
        <is>
          <t>S1</t>
        </is>
      </c>
      <c r="D81" s="87" t="inlineStr">
        <is>
          <t>英文科</t>
        </is>
      </c>
      <c r="E81" s="88" t="inlineStr">
        <is>
          <t>AI 與數碼素養</t>
        </is>
      </c>
      <c r="F81" s="88" t="inlineStr">
        <is>
          <t>Implement Q-V-R-E-R: design role prompts (Q), verify collocations against corpus (V), iterate draft (R), oral viva (R)</t>
        </is>
      </c>
      <c r="G81" s="88" t="inlineStr">
        <is>
          <t>AI prompt &amp; verification logs, in-class oral viva checklists</t>
        </is>
      </c>
      <c r="H81" s="89" t="inlineStr">
        <is>
          <t>未檢視</t>
        </is>
      </c>
      <c r="I81" s="90">
        <f>IF(H81="未出現",0,IF(H81="部分出現",1,IF(H81="穩定出現",2,"")))</f>
        <v/>
      </c>
      <c r="J81" s="87" t="n"/>
      <c r="K81" s="88" t="n"/>
      <c r="L81" s="48" t="n"/>
      <c r="M81" s="48" t="n"/>
      <c r="N81" s="48" t="n"/>
      <c r="O81" s="92" t="n"/>
    </row>
    <row r="82" ht="42" customHeight="1">
      <c r="A82" s="82" t="n">
        <v>77</v>
      </c>
      <c r="B82" s="82" t="inlineStr">
        <is>
          <t>S1–S3</t>
        </is>
      </c>
      <c r="C82" s="82" t="inlineStr">
        <is>
          <t>S2</t>
        </is>
      </c>
      <c r="D82" s="87" t="inlineStr">
        <is>
          <t>英文科</t>
        </is>
      </c>
      <c r="E82" s="88" t="inlineStr">
        <is>
          <t>跨學科閱讀</t>
        </is>
      </c>
      <c r="F82" s="88" t="inlineStr">
        <is>
          <t>Analyze authentic cross-curricular articles, science/social summaries; identify text structures and tone</t>
        </is>
      </c>
      <c r="G82" s="88" t="inlineStr">
        <is>
          <t>Annotated articles, disciplinary vocabulary logs, main idea maps</t>
        </is>
      </c>
      <c r="H82" s="89" t="inlineStr">
        <is>
          <t>未檢視</t>
        </is>
      </c>
      <c r="I82" s="90">
        <f>IF(H82="未出現",0,IF(H82="部分出現",1,IF(H82="穩定出現",2,"")))</f>
        <v/>
      </c>
      <c r="J82" s="87" t="n"/>
      <c r="K82" s="88" t="n"/>
      <c r="L82" s="48" t="n"/>
      <c r="M82" s="48" t="n"/>
      <c r="N82" s="48" t="n"/>
      <c r="O82" s="92" t="n"/>
    </row>
    <row r="83" ht="42" customHeight="1">
      <c r="A83" s="82" t="n">
        <v>78</v>
      </c>
      <c r="B83" s="82" t="inlineStr">
        <is>
          <t>S1–S3</t>
        </is>
      </c>
      <c r="C83" s="82" t="inlineStr">
        <is>
          <t>S2</t>
        </is>
      </c>
      <c r="D83" s="87" t="inlineStr">
        <is>
          <t>英文科</t>
        </is>
      </c>
      <c r="E83" s="88" t="inlineStr">
        <is>
          <t>證據推理</t>
        </is>
      </c>
      <c r="F83" s="88" t="inlineStr">
        <is>
          <t>Construct coherent CER (Claim-Evidence-Reasoning) arguments in writing; evaluate strength of textual evidence</t>
        </is>
      </c>
      <c r="G83" s="88" t="inlineStr">
        <is>
          <t>CER argumentative drafts, peer critique rubrics on evidence quality</t>
        </is>
      </c>
      <c r="H83" s="89" t="inlineStr">
        <is>
          <t>未檢視</t>
        </is>
      </c>
      <c r="I83" s="90">
        <f>IF(H83="未出現",0,IF(H83="部分出現",1,IF(H83="穩定出現",2,"")))</f>
        <v/>
      </c>
      <c r="J83" s="87" t="n"/>
      <c r="K83" s="88" t="n"/>
      <c r="L83" s="48" t="n"/>
      <c r="M83" s="48" t="n"/>
      <c r="N83" s="48" t="n"/>
      <c r="O83" s="92" t="n"/>
    </row>
    <row r="84" ht="42" customHeight="1">
      <c r="A84" s="82" t="n">
        <v>79</v>
      </c>
      <c r="B84" s="82" t="inlineStr">
        <is>
          <t>S1–S3</t>
        </is>
      </c>
      <c r="C84" s="82" t="inlineStr">
        <is>
          <t>S2</t>
        </is>
      </c>
      <c r="D84" s="87" t="inlineStr">
        <is>
          <t>英文科</t>
        </is>
      </c>
      <c r="E84" s="88" t="inlineStr">
        <is>
          <t>解難與建模</t>
        </is>
      </c>
      <c r="F84" s="88" t="inlineStr">
        <is>
          <t>Structure multi-paragraph problem-solution essays using genre-specific conventions; iterate based on feedback</t>
        </is>
      </c>
      <c r="G84" s="88" t="inlineStr">
        <is>
          <t>Problem-solution essays with rubric-guided revision drafts</t>
        </is>
      </c>
      <c r="H84" s="89" t="inlineStr">
        <is>
          <t>未檢視</t>
        </is>
      </c>
      <c r="I84" s="90">
        <f>IF(H84="未出現",0,IF(H84="部分出現",1,IF(H84="穩定出現",2,"")))</f>
        <v/>
      </c>
      <c r="J84" s="87" t="n"/>
      <c r="K84" s="88" t="n"/>
      <c r="L84" s="48" t="n"/>
      <c r="M84" s="48" t="n"/>
      <c r="N84" s="48" t="n"/>
      <c r="O84" s="92" t="n"/>
    </row>
    <row r="85" ht="42" customHeight="1">
      <c r="A85" s="82" t="n">
        <v>80</v>
      </c>
      <c r="B85" s="82" t="inlineStr">
        <is>
          <t>S1–S3</t>
        </is>
      </c>
      <c r="C85" s="82" t="inlineStr">
        <is>
          <t>S2</t>
        </is>
      </c>
      <c r="D85" s="87" t="inlineStr">
        <is>
          <t>英文科</t>
        </is>
      </c>
      <c r="E85" s="88" t="inlineStr">
        <is>
          <t>AI 與數碼素養</t>
        </is>
      </c>
      <c r="F85" s="88" t="inlineStr">
        <is>
          <t>Implement Q-V-R-E-R: design role prompts (Q), verify collocations against corpus (V), iterate draft (R), oral viva (R)</t>
        </is>
      </c>
      <c r="G85" s="88" t="inlineStr">
        <is>
          <t>AI prompt &amp; verification logs, in-class oral viva checklists</t>
        </is>
      </c>
      <c r="H85" s="89" t="inlineStr">
        <is>
          <t>未檢視</t>
        </is>
      </c>
      <c r="I85" s="90">
        <f>IF(H85="未出現",0,IF(H85="部分出現",1,IF(H85="穩定出現",2,"")))</f>
        <v/>
      </c>
      <c r="J85" s="87" t="n"/>
      <c r="K85" s="88" t="n"/>
      <c r="L85" s="48" t="n"/>
      <c r="M85" s="48" t="n"/>
      <c r="N85" s="48" t="n"/>
      <c r="O85" s="92" t="n"/>
    </row>
    <row r="86" ht="42" customHeight="1">
      <c r="A86" s="82" t="n">
        <v>81</v>
      </c>
      <c r="B86" s="82" t="inlineStr">
        <is>
          <t>S1–S3</t>
        </is>
      </c>
      <c r="C86" s="82" t="inlineStr">
        <is>
          <t>S3</t>
        </is>
      </c>
      <c r="D86" s="87" t="inlineStr">
        <is>
          <t>英文科</t>
        </is>
      </c>
      <c r="E86" s="88" t="inlineStr">
        <is>
          <t>跨學科閱讀</t>
        </is>
      </c>
      <c r="F86" s="88" t="inlineStr">
        <is>
          <t>Analyze authentic cross-curricular articles, science/social summaries; identify text structures and tone</t>
        </is>
      </c>
      <c r="G86" s="88" t="inlineStr">
        <is>
          <t>Annotated articles, disciplinary vocabulary logs, main idea maps</t>
        </is>
      </c>
      <c r="H86" s="89" t="inlineStr">
        <is>
          <t>未檢視</t>
        </is>
      </c>
      <c r="I86" s="90">
        <f>IF(H86="未出現",0,IF(H86="部分出現",1,IF(H86="穩定出現",2,"")))</f>
        <v/>
      </c>
      <c r="J86" s="87" t="n"/>
      <c r="K86" s="88" t="n"/>
      <c r="L86" s="48" t="n"/>
      <c r="M86" s="48" t="n"/>
      <c r="N86" s="48" t="n"/>
      <c r="O86" s="92" t="n"/>
    </row>
    <row r="87" ht="42" customHeight="1">
      <c r="A87" s="82" t="n">
        <v>82</v>
      </c>
      <c r="B87" s="82" t="inlineStr">
        <is>
          <t>S1–S3</t>
        </is>
      </c>
      <c r="C87" s="82" t="inlineStr">
        <is>
          <t>S3</t>
        </is>
      </c>
      <c r="D87" s="87" t="inlineStr">
        <is>
          <t>英文科</t>
        </is>
      </c>
      <c r="E87" s="88" t="inlineStr">
        <is>
          <t>證據推理</t>
        </is>
      </c>
      <c r="F87" s="88" t="inlineStr">
        <is>
          <t>Construct coherent CER (Claim-Evidence-Reasoning) arguments in writing; evaluate strength of textual evidence</t>
        </is>
      </c>
      <c r="G87" s="88" t="inlineStr">
        <is>
          <t>CER argumentative drafts, peer critique rubrics on evidence quality</t>
        </is>
      </c>
      <c r="H87" s="89" t="inlineStr">
        <is>
          <t>未檢視</t>
        </is>
      </c>
      <c r="I87" s="90">
        <f>IF(H87="未出現",0,IF(H87="部分出現",1,IF(H87="穩定出現",2,"")))</f>
        <v/>
      </c>
      <c r="J87" s="87" t="n"/>
      <c r="K87" s="88" t="n"/>
      <c r="L87" s="48" t="n"/>
      <c r="M87" s="48" t="n"/>
      <c r="N87" s="48" t="n"/>
      <c r="O87" s="92" t="n"/>
    </row>
    <row r="88" ht="42" customHeight="1">
      <c r="A88" s="82" t="n">
        <v>83</v>
      </c>
      <c r="B88" s="82" t="inlineStr">
        <is>
          <t>S1–S3</t>
        </is>
      </c>
      <c r="C88" s="82" t="inlineStr">
        <is>
          <t>S3</t>
        </is>
      </c>
      <c r="D88" s="87" t="inlineStr">
        <is>
          <t>英文科</t>
        </is>
      </c>
      <c r="E88" s="88" t="inlineStr">
        <is>
          <t>解難與建模</t>
        </is>
      </c>
      <c r="F88" s="88" t="inlineStr">
        <is>
          <t>Structure multi-paragraph problem-solution essays using genre-specific conventions; iterate based on feedback</t>
        </is>
      </c>
      <c r="G88" s="88" t="inlineStr">
        <is>
          <t>Problem-solution essays with rubric-guided revision drafts</t>
        </is>
      </c>
      <c r="H88" s="89" t="inlineStr">
        <is>
          <t>未檢視</t>
        </is>
      </c>
      <c r="I88" s="90">
        <f>IF(H88="未出現",0,IF(H88="部分出現",1,IF(H88="穩定出現",2,"")))</f>
        <v/>
      </c>
      <c r="J88" s="87" t="n"/>
      <c r="K88" s="88" t="n"/>
      <c r="L88" s="48" t="n"/>
      <c r="M88" s="48" t="n"/>
      <c r="N88" s="48" t="n"/>
      <c r="O88" s="92" t="n"/>
    </row>
    <row r="89" ht="42" customHeight="1">
      <c r="A89" s="82" t="n">
        <v>84</v>
      </c>
      <c r="B89" s="82" t="inlineStr">
        <is>
          <t>S1–S3</t>
        </is>
      </c>
      <c r="C89" s="82" t="inlineStr">
        <is>
          <t>S3</t>
        </is>
      </c>
      <c r="D89" s="87" t="inlineStr">
        <is>
          <t>英文科</t>
        </is>
      </c>
      <c r="E89" s="88" t="inlineStr">
        <is>
          <t>AI 與數碼素養</t>
        </is>
      </c>
      <c r="F89" s="88" t="inlineStr">
        <is>
          <t>Implement Q-V-R-E-R: design role prompts (Q), verify collocations against corpus (V), iterate draft (R), oral viva (R)</t>
        </is>
      </c>
      <c r="G89" s="88" t="inlineStr">
        <is>
          <t>AI prompt &amp; verification logs, in-class oral viva checklists</t>
        </is>
      </c>
      <c r="H89" s="89" t="inlineStr">
        <is>
          <t>未檢視</t>
        </is>
      </c>
      <c r="I89" s="90">
        <f>IF(H89="未出現",0,IF(H89="部分出現",1,IF(H89="穩定出現",2,"")))</f>
        <v/>
      </c>
      <c r="J89" s="87" t="n"/>
      <c r="K89" s="88" t="n"/>
      <c r="L89" s="48" t="n"/>
      <c r="M89" s="48" t="n"/>
      <c r="N89" s="48" t="n"/>
      <c r="O89" s="92" t="n"/>
    </row>
    <row r="90" ht="42" customHeight="1">
      <c r="A90" s="82" t="n">
        <v>85</v>
      </c>
      <c r="B90" s="82" t="inlineStr">
        <is>
          <t>S4–S6</t>
        </is>
      </c>
      <c r="C90" s="82" t="inlineStr">
        <is>
          <t>S4</t>
        </is>
      </c>
      <c r="D90" s="87" t="inlineStr">
        <is>
          <t>英文科</t>
        </is>
      </c>
      <c r="E90" s="88" t="inlineStr">
        <is>
          <t>跨學科閱讀</t>
        </is>
      </c>
      <c r="F90" s="88" t="inlineStr">
        <is>
          <t>Synthesize conflicting academic texts and policy papers; critique argument validity, nuances, and bias</t>
        </is>
      </c>
      <c r="G90" s="88" t="inlineStr">
        <is>
          <t>Cross-text literature review notes, argumentative source critiques</t>
        </is>
      </c>
      <c r="H90" s="89" t="inlineStr">
        <is>
          <t>未檢視</t>
        </is>
      </c>
      <c r="I90" s="90">
        <f>IF(H90="未出現",0,IF(H90="部分出現",1,IF(H90="穩定出現",2,"")))</f>
        <v/>
      </c>
      <c r="J90" s="87" t="n"/>
      <c r="K90" s="88" t="n"/>
      <c r="L90" s="48" t="n"/>
      <c r="M90" s="48" t="n"/>
      <c r="N90" s="48" t="n"/>
      <c r="O90" s="92" t="n"/>
    </row>
    <row r="91" ht="42" customHeight="1">
      <c r="A91" s="82" t="n">
        <v>86</v>
      </c>
      <c r="B91" s="82" t="inlineStr">
        <is>
          <t>S4–S6</t>
        </is>
      </c>
      <c r="C91" s="82" t="inlineStr">
        <is>
          <t>S4</t>
        </is>
      </c>
      <c r="D91" s="87" t="inlineStr">
        <is>
          <t>英文科</t>
        </is>
      </c>
      <c r="E91" s="88" t="inlineStr">
        <is>
          <t>證據推理</t>
        </is>
      </c>
      <c r="F91" s="88" t="inlineStr">
        <is>
          <t>Formulate complex academic theses addressing counterarguments; critique hedging language and logical flaws</t>
        </is>
      </c>
      <c r="G91" s="88" t="inlineStr">
        <is>
          <t>Position papers, counter-argument response logs, debate briefs</t>
        </is>
      </c>
      <c r="H91" s="89" t="inlineStr">
        <is>
          <t>未檢視</t>
        </is>
      </c>
      <c r="I91" s="90">
        <f>IF(H91="未出現",0,IF(H91="部分出現",1,IF(H91="穩定出現",2,"")))</f>
        <v/>
      </c>
      <c r="J91" s="87" t="n"/>
      <c r="K91" s="88" t="n"/>
      <c r="L91" s="48" t="n"/>
      <c r="M91" s="48" t="n"/>
      <c r="N91" s="48" t="n"/>
      <c r="O91" s="92" t="n"/>
    </row>
    <row r="92" ht="42" customHeight="1">
      <c r="A92" s="82" t="n">
        <v>87</v>
      </c>
      <c r="B92" s="82" t="inlineStr">
        <is>
          <t>S4–S6</t>
        </is>
      </c>
      <c r="C92" s="82" t="inlineStr">
        <is>
          <t>S4</t>
        </is>
      </c>
      <c r="D92" s="87" t="inlineStr">
        <is>
          <t>英文科</t>
        </is>
      </c>
      <c r="E92" s="88" t="inlineStr">
        <is>
          <t>解難與建模</t>
        </is>
      </c>
      <c r="F92" s="88" t="inlineStr">
        <is>
          <t>Tackle real-world global challenges (OECD/UN SDGs) through structured policy briefs or multimedia presentations</t>
        </is>
      </c>
      <c r="G92" s="88" t="inlineStr">
        <is>
          <t>SDG policy proposals, project slides, stakeholder analysis reports</t>
        </is>
      </c>
      <c r="H92" s="89" t="inlineStr">
        <is>
          <t>未檢視</t>
        </is>
      </c>
      <c r="I92" s="90">
        <f>IF(H92="未出現",0,IF(H92="部分出現",1,IF(H92="穩定出現",2,"")))</f>
        <v/>
      </c>
      <c r="J92" s="87" t="n"/>
      <c r="K92" s="88" t="n"/>
      <c r="L92" s="48" t="n"/>
      <c r="M92" s="48" t="n"/>
      <c r="N92" s="48" t="n"/>
      <c r="O92" s="92" t="n"/>
    </row>
    <row r="93" ht="42" customHeight="1">
      <c r="A93" s="82" t="n">
        <v>88</v>
      </c>
      <c r="B93" s="82" t="inlineStr">
        <is>
          <t>S4–S6</t>
        </is>
      </c>
      <c r="C93" s="82" t="inlineStr">
        <is>
          <t>S4</t>
        </is>
      </c>
      <c r="D93" s="87" t="inlineStr">
        <is>
          <t>英文科</t>
        </is>
      </c>
      <c r="E93" s="88" t="inlineStr">
        <is>
          <t>AI 與數碼素養</t>
        </is>
      </c>
      <c r="F93" s="88" t="inlineStr">
        <is>
          <t>Mandatory offline outline writing; use AI solely as critical reader/peer editor; submit complete version history</t>
        </is>
      </c>
      <c r="G93" s="88" t="inlineStr">
        <is>
          <t>Offline written outlines, AI version diffs, anti-plagiarism declarations</t>
        </is>
      </c>
      <c r="H93" s="89" t="inlineStr">
        <is>
          <t>未檢視</t>
        </is>
      </c>
      <c r="I93" s="90">
        <f>IF(H93="未出現",0,IF(H93="部分出現",1,IF(H93="穩定出現",2,"")))</f>
        <v/>
      </c>
      <c r="J93" s="87" t="n"/>
      <c r="K93" s="88" t="n"/>
      <c r="L93" s="48" t="n"/>
      <c r="M93" s="48" t="n"/>
      <c r="N93" s="48" t="n"/>
      <c r="O93" s="92" t="n"/>
    </row>
    <row r="94" ht="42" customHeight="1">
      <c r="A94" s="82" t="n">
        <v>89</v>
      </c>
      <c r="B94" s="82" t="inlineStr">
        <is>
          <t>S4–S6</t>
        </is>
      </c>
      <c r="C94" s="82" t="inlineStr">
        <is>
          <t>S5</t>
        </is>
      </c>
      <c r="D94" s="87" t="inlineStr">
        <is>
          <t>英文科</t>
        </is>
      </c>
      <c r="E94" s="88" t="inlineStr">
        <is>
          <t>跨學科閱讀</t>
        </is>
      </c>
      <c r="F94" s="88" t="inlineStr">
        <is>
          <t>Synthesize conflicting academic texts and policy papers; critique argument validity, nuances, and bias</t>
        </is>
      </c>
      <c r="G94" s="88" t="inlineStr">
        <is>
          <t>Cross-text literature review notes, argumentative source critiques</t>
        </is>
      </c>
      <c r="H94" s="89" t="inlineStr">
        <is>
          <t>未檢視</t>
        </is>
      </c>
      <c r="I94" s="90">
        <f>IF(H94="未出現",0,IF(H94="部分出現",1,IF(H94="穩定出現",2,"")))</f>
        <v/>
      </c>
      <c r="J94" s="87" t="n"/>
      <c r="K94" s="88" t="n"/>
      <c r="L94" s="48" t="n"/>
      <c r="M94" s="48" t="n"/>
      <c r="N94" s="48" t="n"/>
      <c r="O94" s="92" t="n"/>
    </row>
    <row r="95" ht="42" customHeight="1">
      <c r="A95" s="82" t="n">
        <v>90</v>
      </c>
      <c r="B95" s="82" t="inlineStr">
        <is>
          <t>S4–S6</t>
        </is>
      </c>
      <c r="C95" s="82" t="inlineStr">
        <is>
          <t>S5</t>
        </is>
      </c>
      <c r="D95" s="87" t="inlineStr">
        <is>
          <t>英文科</t>
        </is>
      </c>
      <c r="E95" s="88" t="inlineStr">
        <is>
          <t>證據推理</t>
        </is>
      </c>
      <c r="F95" s="88" t="inlineStr">
        <is>
          <t>Formulate complex academic theses addressing counterarguments; critique hedging language and logical flaws</t>
        </is>
      </c>
      <c r="G95" s="88" t="inlineStr">
        <is>
          <t>Position papers, counter-argument response logs, debate briefs</t>
        </is>
      </c>
      <c r="H95" s="89" t="inlineStr">
        <is>
          <t>未檢視</t>
        </is>
      </c>
      <c r="I95" s="90">
        <f>IF(H95="未出現",0,IF(H95="部分出現",1,IF(H95="穩定出現",2,"")))</f>
        <v/>
      </c>
      <c r="J95" s="87" t="n"/>
      <c r="K95" s="88" t="n"/>
      <c r="L95" s="48" t="n"/>
      <c r="M95" s="48" t="n"/>
      <c r="N95" s="48" t="n"/>
      <c r="O95" s="92" t="n"/>
    </row>
    <row r="96" ht="42" customHeight="1">
      <c r="A96" s="82" t="n">
        <v>91</v>
      </c>
      <c r="B96" s="82" t="inlineStr">
        <is>
          <t>S4–S6</t>
        </is>
      </c>
      <c r="C96" s="82" t="inlineStr">
        <is>
          <t>S5</t>
        </is>
      </c>
      <c r="D96" s="87" t="inlineStr">
        <is>
          <t>英文科</t>
        </is>
      </c>
      <c r="E96" s="88" t="inlineStr">
        <is>
          <t>解難與建模</t>
        </is>
      </c>
      <c r="F96" s="88" t="inlineStr">
        <is>
          <t>Tackle real-world global challenges (OECD/UN SDGs) through structured policy briefs or multimedia presentations</t>
        </is>
      </c>
      <c r="G96" s="88" t="inlineStr">
        <is>
          <t>SDG policy proposals, project slides, stakeholder analysis reports</t>
        </is>
      </c>
      <c r="H96" s="89" t="inlineStr">
        <is>
          <t>未檢視</t>
        </is>
      </c>
      <c r="I96" s="90">
        <f>IF(H96="未出現",0,IF(H96="部分出現",1,IF(H96="穩定出現",2,"")))</f>
        <v/>
      </c>
      <c r="J96" s="87" t="n"/>
      <c r="K96" s="88" t="n"/>
      <c r="L96" s="48" t="n"/>
      <c r="M96" s="48" t="n"/>
      <c r="N96" s="48" t="n"/>
      <c r="O96" s="92" t="n"/>
    </row>
    <row r="97" ht="42" customHeight="1">
      <c r="A97" s="82" t="n">
        <v>92</v>
      </c>
      <c r="B97" s="82" t="inlineStr">
        <is>
          <t>S4–S6</t>
        </is>
      </c>
      <c r="C97" s="82" t="inlineStr">
        <is>
          <t>S5</t>
        </is>
      </c>
      <c r="D97" s="87" t="inlineStr">
        <is>
          <t>英文科</t>
        </is>
      </c>
      <c r="E97" s="88" t="inlineStr">
        <is>
          <t>AI 與數碼素養</t>
        </is>
      </c>
      <c r="F97" s="88" t="inlineStr">
        <is>
          <t>Mandatory offline outline writing; use AI solely as critical reader/peer editor; submit complete version history</t>
        </is>
      </c>
      <c r="G97" s="88" t="inlineStr">
        <is>
          <t>Offline written outlines, AI version diffs, anti-plagiarism declarations</t>
        </is>
      </c>
      <c r="H97" s="89" t="inlineStr">
        <is>
          <t>未檢視</t>
        </is>
      </c>
      <c r="I97" s="90">
        <f>IF(H97="未出現",0,IF(H97="部分出現",1,IF(H97="穩定出現",2,"")))</f>
        <v/>
      </c>
      <c r="J97" s="87" t="n"/>
      <c r="K97" s="88" t="n"/>
      <c r="L97" s="48" t="n"/>
      <c r="M97" s="48" t="n"/>
      <c r="N97" s="48" t="n"/>
      <c r="O97" s="92" t="n"/>
    </row>
    <row r="98" ht="42" customHeight="1">
      <c r="A98" s="82" t="n">
        <v>93</v>
      </c>
      <c r="B98" s="82" t="inlineStr">
        <is>
          <t>S4–S6</t>
        </is>
      </c>
      <c r="C98" s="82" t="inlineStr">
        <is>
          <t>S6</t>
        </is>
      </c>
      <c r="D98" s="87" t="inlineStr">
        <is>
          <t>英文科</t>
        </is>
      </c>
      <c r="E98" s="88" t="inlineStr">
        <is>
          <t>跨學科閱讀</t>
        </is>
      </c>
      <c r="F98" s="88" t="inlineStr">
        <is>
          <t>Synthesize conflicting academic texts and policy papers; critique argument validity, nuances, and bias</t>
        </is>
      </c>
      <c r="G98" s="88" t="inlineStr">
        <is>
          <t>Cross-text literature review notes, argumentative source critiques</t>
        </is>
      </c>
      <c r="H98" s="89" t="inlineStr">
        <is>
          <t>未檢視</t>
        </is>
      </c>
      <c r="I98" s="90">
        <f>IF(H98="未出現",0,IF(H98="部分出現",1,IF(H98="穩定出現",2,"")))</f>
        <v/>
      </c>
      <c r="J98" s="87" t="n"/>
      <c r="K98" s="88" t="n"/>
      <c r="L98" s="48" t="n"/>
      <c r="M98" s="48" t="n"/>
      <c r="N98" s="48" t="n"/>
      <c r="O98" s="92" t="n"/>
    </row>
    <row r="99" ht="42" customHeight="1">
      <c r="A99" s="82" t="n">
        <v>94</v>
      </c>
      <c r="B99" s="82" t="inlineStr">
        <is>
          <t>S4–S6</t>
        </is>
      </c>
      <c r="C99" s="82" t="inlineStr">
        <is>
          <t>S6</t>
        </is>
      </c>
      <c r="D99" s="87" t="inlineStr">
        <is>
          <t>英文科</t>
        </is>
      </c>
      <c r="E99" s="88" t="inlineStr">
        <is>
          <t>證據推理</t>
        </is>
      </c>
      <c r="F99" s="88" t="inlineStr">
        <is>
          <t>Formulate complex academic theses addressing counterarguments; critique hedging language and logical flaws</t>
        </is>
      </c>
      <c r="G99" s="88" t="inlineStr">
        <is>
          <t>Position papers, counter-argument response logs, debate briefs</t>
        </is>
      </c>
      <c r="H99" s="89" t="inlineStr">
        <is>
          <t>未檢視</t>
        </is>
      </c>
      <c r="I99" s="90">
        <f>IF(H99="未出現",0,IF(H99="部分出現",1,IF(H99="穩定出現",2,"")))</f>
        <v/>
      </c>
      <c r="J99" s="87" t="n"/>
      <c r="K99" s="88" t="n"/>
      <c r="L99" s="48" t="n"/>
      <c r="M99" s="48" t="n"/>
      <c r="N99" s="48" t="n"/>
      <c r="O99" s="92" t="n"/>
    </row>
    <row r="100" ht="42" customHeight="1">
      <c r="A100" s="82" t="n">
        <v>95</v>
      </c>
      <c r="B100" s="82" t="inlineStr">
        <is>
          <t>S4–S6</t>
        </is>
      </c>
      <c r="C100" s="82" t="inlineStr">
        <is>
          <t>S6</t>
        </is>
      </c>
      <c r="D100" s="87" t="inlineStr">
        <is>
          <t>英文科</t>
        </is>
      </c>
      <c r="E100" s="88" t="inlineStr">
        <is>
          <t>解難與建模</t>
        </is>
      </c>
      <c r="F100" s="88" t="inlineStr">
        <is>
          <t>Tackle real-world global challenges (OECD/UN SDGs) through structured policy briefs or multimedia presentations</t>
        </is>
      </c>
      <c r="G100" s="88" t="inlineStr">
        <is>
          <t>SDG policy proposals, project slides, stakeholder analysis reports</t>
        </is>
      </c>
      <c r="H100" s="89" t="inlineStr">
        <is>
          <t>未檢視</t>
        </is>
      </c>
      <c r="I100" s="90">
        <f>IF(H100="未出現",0,IF(H100="部分出現",1,IF(H100="穩定出現",2,"")))</f>
        <v/>
      </c>
      <c r="J100" s="87" t="n"/>
      <c r="K100" s="88" t="n"/>
      <c r="L100" s="48" t="n"/>
      <c r="M100" s="48" t="n"/>
      <c r="N100" s="48" t="n"/>
      <c r="O100" s="92" t="n"/>
    </row>
    <row r="101" ht="42" customHeight="1">
      <c r="A101" s="82" t="n">
        <v>96</v>
      </c>
      <c r="B101" s="82" t="inlineStr">
        <is>
          <t>S4–S6</t>
        </is>
      </c>
      <c r="C101" s="82" t="inlineStr">
        <is>
          <t>S6</t>
        </is>
      </c>
      <c r="D101" s="87" t="inlineStr">
        <is>
          <t>英文科</t>
        </is>
      </c>
      <c r="E101" s="88" t="inlineStr">
        <is>
          <t>AI 與數碼素養</t>
        </is>
      </c>
      <c r="F101" s="88" t="inlineStr">
        <is>
          <t>Mandatory offline outline writing; use AI solely as critical reader/peer editor; submit complete version history</t>
        </is>
      </c>
      <c r="G101" s="88" t="inlineStr">
        <is>
          <t>Offline written outlines, AI version diffs, anti-plagiarism declarations</t>
        </is>
      </c>
      <c r="H101" s="89" t="inlineStr">
        <is>
          <t>未檢視</t>
        </is>
      </c>
      <c r="I101" s="90">
        <f>IF(H101="未出現",0,IF(H101="部分出現",1,IF(H101="穩定出現",2,"")))</f>
        <v/>
      </c>
      <c r="J101" s="87" t="n"/>
      <c r="K101" s="88" t="n"/>
      <c r="L101" s="48" t="n"/>
      <c r="M101" s="48" t="n"/>
      <c r="N101" s="48" t="n"/>
      <c r="O101" s="92" t="n"/>
    </row>
    <row r="102" ht="42" customHeight="1">
      <c r="A102" s="82" t="n">
        <v>97</v>
      </c>
      <c r="B102" s="82" t="inlineStr">
        <is>
          <t>P1–P3</t>
        </is>
      </c>
      <c r="C102" s="82" t="inlineStr">
        <is>
          <t>P1</t>
        </is>
      </c>
      <c r="D102" s="87" t="inlineStr">
        <is>
          <t>數學科</t>
        </is>
      </c>
      <c r="E102" s="88" t="inlineStr">
        <is>
          <t>跨學科閱讀</t>
        </is>
      </c>
      <c r="F102" s="88" t="inlineStr">
        <is>
          <t>閱讀生活購物、度量衡與圖文混合文字題，準確辨識已知條件、所求問題與多餘干擾資訊</t>
        </is>
      </c>
      <c r="G102" s="88" t="inlineStr">
        <is>
          <t>圈選已知與所求工作紙、生活數學圖文題卡</t>
        </is>
      </c>
      <c r="H102" s="89" t="inlineStr">
        <is>
          <t>未檢視</t>
        </is>
      </c>
      <c r="I102" s="90">
        <f>IF(H102="未出現",0,IF(H102="部分出現",1,IF(H102="穩定出現",2,"")))</f>
        <v/>
      </c>
      <c r="J102" s="87" t="n"/>
      <c r="K102" s="88" t="n"/>
      <c r="L102" s="48" t="n"/>
      <c r="M102" s="48" t="n"/>
      <c r="N102" s="48" t="n"/>
      <c r="O102" s="92" t="n"/>
    </row>
    <row r="103" ht="42" customHeight="1">
      <c r="A103" s="82" t="n">
        <v>98</v>
      </c>
      <c r="B103" s="82" t="inlineStr">
        <is>
          <t>P1–P3</t>
        </is>
      </c>
      <c r="C103" s="82" t="inlineStr">
        <is>
          <t>P1</t>
        </is>
      </c>
      <c r="D103" s="87" t="inlineStr">
        <is>
          <t>數學科</t>
        </is>
      </c>
      <c r="E103" s="88" t="inlineStr">
        <is>
          <t>證據推理</t>
        </is>
      </c>
      <c r="F103" s="88" t="inlineStr">
        <is>
          <t>利用實物操作、計數圖示演示計算過程，用口語清晰解釋「為什麼這個算式能算出來」</t>
        </is>
      </c>
      <c r="G103" s="88" t="inlineStr">
        <is>
          <t>實物操作觀察表、課堂口頭解題說理評量</t>
        </is>
      </c>
      <c r="H103" s="89" t="inlineStr">
        <is>
          <t>未檢視</t>
        </is>
      </c>
      <c r="I103" s="90">
        <f>IF(H103="未出現",0,IF(H103="部分出現",1,IF(H103="穩定出現",2,"")))</f>
        <v/>
      </c>
      <c r="J103" s="87" t="n"/>
      <c r="K103" s="88" t="n"/>
      <c r="L103" s="48" t="n"/>
      <c r="M103" s="48" t="n"/>
      <c r="N103" s="48" t="n"/>
      <c r="O103" s="92" t="n"/>
    </row>
    <row r="104" ht="42" customHeight="1">
      <c r="A104" s="82" t="n">
        <v>99</v>
      </c>
      <c r="B104" s="82" t="inlineStr">
        <is>
          <t>P1–P3</t>
        </is>
      </c>
      <c r="C104" s="82" t="inlineStr">
        <is>
          <t>P1</t>
        </is>
      </c>
      <c r="D104" s="87" t="inlineStr">
        <is>
          <t>數學科</t>
        </is>
      </c>
      <c r="E104" s="88" t="inlineStr">
        <is>
          <t>解難與建模</t>
        </is>
      </c>
      <c r="F104" s="88" t="inlineStr">
        <is>
          <t>將生活實際情境（分組排隊、零錢找贖）轉化為四則運算模型，並用逆運算檢驗答案合理性</t>
        </is>
      </c>
      <c r="G104" s="88" t="inlineStr">
        <is>
          <t>生活情境轉化運算單、逆運算驗證核對表</t>
        </is>
      </c>
      <c r="H104" s="89" t="inlineStr">
        <is>
          <t>未檢視</t>
        </is>
      </c>
      <c r="I104" s="90">
        <f>IF(H104="未出現",0,IF(H104="部分出現",1,IF(H104="穩定出現",2,"")))</f>
        <v/>
      </c>
      <c r="J104" s="87" t="n"/>
      <c r="K104" s="88" t="n"/>
      <c r="L104" s="48" t="n"/>
      <c r="M104" s="48" t="n"/>
      <c r="N104" s="48" t="n"/>
      <c r="O104" s="92" t="n"/>
    </row>
    <row r="105" ht="42" customHeight="1">
      <c r="A105" s="82" t="n">
        <v>100</v>
      </c>
      <c r="B105" s="82" t="inlineStr">
        <is>
          <t>P1–P3</t>
        </is>
      </c>
      <c r="C105" s="82" t="inlineStr">
        <is>
          <t>P1</t>
        </is>
      </c>
      <c r="D105" s="87" t="inlineStr">
        <is>
          <t>數學科</t>
        </is>
      </c>
      <c r="E105" s="88" t="inlineStr">
        <is>
          <t>AI 與數碼素養</t>
        </is>
      </c>
      <c r="F105" s="88" t="inlineStr">
        <is>
          <t>利用互動幾何與虛擬教具輔助空間視覺化，解題運算堅持離線紙筆，確保基本運算流暢度</t>
        </is>
      </c>
      <c r="G105" s="88" t="inlineStr">
        <is>
          <t>互動軟體探究紀錄、純紙筆運算練習簿</t>
        </is>
      </c>
      <c r="H105" s="89" t="inlineStr">
        <is>
          <t>未檢視</t>
        </is>
      </c>
      <c r="I105" s="90">
        <f>IF(H105="未出現",0,IF(H105="部分出現",1,IF(H105="穩定出現",2,"")))</f>
        <v/>
      </c>
      <c r="J105" s="87" t="n"/>
      <c r="K105" s="88" t="n"/>
      <c r="L105" s="48" t="n"/>
      <c r="M105" s="48" t="n"/>
      <c r="N105" s="48" t="n"/>
      <c r="O105" s="92" t="n"/>
    </row>
    <row r="106" ht="42" customHeight="1">
      <c r="A106" s="82" t="n">
        <v>101</v>
      </c>
      <c r="B106" s="82" t="inlineStr">
        <is>
          <t>P1–P3</t>
        </is>
      </c>
      <c r="C106" s="82" t="inlineStr">
        <is>
          <t>P2</t>
        </is>
      </c>
      <c r="D106" s="87" t="inlineStr">
        <is>
          <t>數學科</t>
        </is>
      </c>
      <c r="E106" s="88" t="inlineStr">
        <is>
          <t>跨學科閱讀</t>
        </is>
      </c>
      <c r="F106" s="88" t="inlineStr">
        <is>
          <t>閱讀生活購物、度量衡與圖文混合文字題，準確辨識已知條件、所求問題與多餘干擾資訊</t>
        </is>
      </c>
      <c r="G106" s="88" t="inlineStr">
        <is>
          <t>圈選已知與所求工作紙、生活數學圖文題卡</t>
        </is>
      </c>
      <c r="H106" s="89" t="inlineStr">
        <is>
          <t>未檢視</t>
        </is>
      </c>
      <c r="I106" s="90">
        <f>IF(H106="未出現",0,IF(H106="部分出現",1,IF(H106="穩定出現",2,"")))</f>
        <v/>
      </c>
      <c r="J106" s="87" t="n"/>
      <c r="K106" s="88" t="n"/>
      <c r="L106" s="48" t="n"/>
      <c r="M106" s="48" t="n"/>
      <c r="N106" s="48" t="n"/>
      <c r="O106" s="92" t="n"/>
    </row>
    <row r="107" ht="42" customHeight="1">
      <c r="A107" s="82" t="n">
        <v>102</v>
      </c>
      <c r="B107" s="82" t="inlineStr">
        <is>
          <t>P1–P3</t>
        </is>
      </c>
      <c r="C107" s="82" t="inlineStr">
        <is>
          <t>P2</t>
        </is>
      </c>
      <c r="D107" s="87" t="inlineStr">
        <is>
          <t>數學科</t>
        </is>
      </c>
      <c r="E107" s="88" t="inlineStr">
        <is>
          <t>證據推理</t>
        </is>
      </c>
      <c r="F107" s="88" t="inlineStr">
        <is>
          <t>利用實物操作、計數圖示演示計算過程，用口語清晰解釋「為什麼這個算式能算出來」</t>
        </is>
      </c>
      <c r="G107" s="88" t="inlineStr">
        <is>
          <t>實物操作觀察表、課堂口頭解題說理評量</t>
        </is>
      </c>
      <c r="H107" s="89" t="inlineStr">
        <is>
          <t>未檢視</t>
        </is>
      </c>
      <c r="I107" s="90">
        <f>IF(H107="未出現",0,IF(H107="部分出現",1,IF(H107="穩定出現",2,"")))</f>
        <v/>
      </c>
      <c r="J107" s="87" t="n"/>
      <c r="K107" s="88" t="n"/>
      <c r="L107" s="48" t="n"/>
      <c r="M107" s="48" t="n"/>
      <c r="N107" s="48" t="n"/>
      <c r="O107" s="92" t="n"/>
    </row>
    <row r="108" ht="42" customHeight="1">
      <c r="A108" s="82" t="n">
        <v>103</v>
      </c>
      <c r="B108" s="82" t="inlineStr">
        <is>
          <t>P1–P3</t>
        </is>
      </c>
      <c r="C108" s="82" t="inlineStr">
        <is>
          <t>P2</t>
        </is>
      </c>
      <c r="D108" s="87" t="inlineStr">
        <is>
          <t>數學科</t>
        </is>
      </c>
      <c r="E108" s="88" t="inlineStr">
        <is>
          <t>解難與建模</t>
        </is>
      </c>
      <c r="F108" s="88" t="inlineStr">
        <is>
          <t>將生活實際情境（分組排隊、零錢找贖）轉化為四則運算模型，並用逆運算檢驗答案合理性</t>
        </is>
      </c>
      <c r="G108" s="88" t="inlineStr">
        <is>
          <t>生活情境轉化運算單、逆運算驗證核對表</t>
        </is>
      </c>
      <c r="H108" s="89" t="inlineStr">
        <is>
          <t>未檢視</t>
        </is>
      </c>
      <c r="I108" s="90">
        <f>IF(H108="未出現",0,IF(H108="部分出現",1,IF(H108="穩定出現",2,"")))</f>
        <v/>
      </c>
      <c r="J108" s="87" t="n"/>
      <c r="K108" s="88" t="n"/>
      <c r="L108" s="48" t="n"/>
      <c r="M108" s="48" t="n"/>
      <c r="N108" s="48" t="n"/>
      <c r="O108" s="92" t="n"/>
    </row>
    <row r="109" ht="42" customHeight="1">
      <c r="A109" s="82" t="n">
        <v>104</v>
      </c>
      <c r="B109" s="82" t="inlineStr">
        <is>
          <t>P1–P3</t>
        </is>
      </c>
      <c r="C109" s="82" t="inlineStr">
        <is>
          <t>P2</t>
        </is>
      </c>
      <c r="D109" s="87" t="inlineStr">
        <is>
          <t>數學科</t>
        </is>
      </c>
      <c r="E109" s="88" t="inlineStr">
        <is>
          <t>AI 與數碼素養</t>
        </is>
      </c>
      <c r="F109" s="88" t="inlineStr">
        <is>
          <t>利用互動幾何與虛擬教具輔助空間視覺化，解題運算堅持離線紙筆，確保基本運算流暢度</t>
        </is>
      </c>
      <c r="G109" s="88" t="inlineStr">
        <is>
          <t>互動軟體探究紀錄、純紙筆運算練習簿</t>
        </is>
      </c>
      <c r="H109" s="89" t="inlineStr">
        <is>
          <t>未檢視</t>
        </is>
      </c>
      <c r="I109" s="90">
        <f>IF(H109="未出現",0,IF(H109="部分出現",1,IF(H109="穩定出現",2,"")))</f>
        <v/>
      </c>
      <c r="J109" s="87" t="n"/>
      <c r="K109" s="88" t="n"/>
      <c r="L109" s="48" t="n"/>
      <c r="M109" s="48" t="n"/>
      <c r="N109" s="48" t="n"/>
      <c r="O109" s="92" t="n"/>
    </row>
    <row r="110" ht="42" customHeight="1">
      <c r="A110" s="82" t="n">
        <v>105</v>
      </c>
      <c r="B110" s="82" t="inlineStr">
        <is>
          <t>P1–P3</t>
        </is>
      </c>
      <c r="C110" s="82" t="inlineStr">
        <is>
          <t>P3</t>
        </is>
      </c>
      <c r="D110" s="87" t="inlineStr">
        <is>
          <t>數學科</t>
        </is>
      </c>
      <c r="E110" s="88" t="inlineStr">
        <is>
          <t>跨學科閱讀</t>
        </is>
      </c>
      <c r="F110" s="88" t="inlineStr">
        <is>
          <t>閱讀生活購物、度量衡與圖文混合文字題，準確辨識已知條件、所求問題與多餘干擾資訊</t>
        </is>
      </c>
      <c r="G110" s="88" t="inlineStr">
        <is>
          <t>圈選已知與所求工作紙、生活數學圖文題卡</t>
        </is>
      </c>
      <c r="H110" s="89" t="inlineStr">
        <is>
          <t>未檢視</t>
        </is>
      </c>
      <c r="I110" s="90">
        <f>IF(H110="未出現",0,IF(H110="部分出現",1,IF(H110="穩定出現",2,"")))</f>
        <v/>
      </c>
      <c r="J110" s="87" t="n"/>
      <c r="K110" s="88" t="n"/>
      <c r="L110" s="48" t="n"/>
      <c r="M110" s="48" t="n"/>
      <c r="N110" s="48" t="n"/>
      <c r="O110" s="92" t="n"/>
    </row>
    <row r="111" ht="42" customHeight="1">
      <c r="A111" s="82" t="n">
        <v>106</v>
      </c>
      <c r="B111" s="82" t="inlineStr">
        <is>
          <t>P1–P3</t>
        </is>
      </c>
      <c r="C111" s="82" t="inlineStr">
        <is>
          <t>P3</t>
        </is>
      </c>
      <c r="D111" s="87" t="inlineStr">
        <is>
          <t>數學科</t>
        </is>
      </c>
      <c r="E111" s="88" t="inlineStr">
        <is>
          <t>證據推理</t>
        </is>
      </c>
      <c r="F111" s="88" t="inlineStr">
        <is>
          <t>利用實物操作、計數圖示演示計算過程，用口語清晰解釋「為什麼這個算式能算出來」</t>
        </is>
      </c>
      <c r="G111" s="88" t="inlineStr">
        <is>
          <t>實物操作觀察表、課堂口頭解題說理評量</t>
        </is>
      </c>
      <c r="H111" s="89" t="inlineStr">
        <is>
          <t>未檢視</t>
        </is>
      </c>
      <c r="I111" s="90">
        <f>IF(H111="未出現",0,IF(H111="部分出現",1,IF(H111="穩定出現",2,"")))</f>
        <v/>
      </c>
      <c r="J111" s="87" t="n"/>
      <c r="K111" s="88" t="n"/>
      <c r="L111" s="48" t="n"/>
      <c r="M111" s="48" t="n"/>
      <c r="N111" s="48" t="n"/>
      <c r="O111" s="92" t="n"/>
    </row>
    <row r="112" ht="42" customHeight="1">
      <c r="A112" s="82" t="n">
        <v>107</v>
      </c>
      <c r="B112" s="82" t="inlineStr">
        <is>
          <t>P1–P3</t>
        </is>
      </c>
      <c r="C112" s="82" t="inlineStr">
        <is>
          <t>P3</t>
        </is>
      </c>
      <c r="D112" s="87" t="inlineStr">
        <is>
          <t>數學科</t>
        </is>
      </c>
      <c r="E112" s="88" t="inlineStr">
        <is>
          <t>解難與建模</t>
        </is>
      </c>
      <c r="F112" s="88" t="inlineStr">
        <is>
          <t>將生活實際情境（分組排隊、零錢找贖）轉化為四則運算模型，並用逆運算檢驗答案合理性</t>
        </is>
      </c>
      <c r="G112" s="88" t="inlineStr">
        <is>
          <t>生活情境轉化運算單、逆運算驗證核對表</t>
        </is>
      </c>
      <c r="H112" s="89" t="inlineStr">
        <is>
          <t>未檢視</t>
        </is>
      </c>
      <c r="I112" s="90">
        <f>IF(H112="未出現",0,IF(H112="部分出現",1,IF(H112="穩定出現",2,"")))</f>
        <v/>
      </c>
      <c r="J112" s="87" t="n"/>
      <c r="K112" s="88" t="n"/>
      <c r="L112" s="48" t="n"/>
      <c r="M112" s="48" t="n"/>
      <c r="N112" s="48" t="n"/>
      <c r="O112" s="92" t="n"/>
    </row>
    <row r="113" ht="42" customHeight="1">
      <c r="A113" s="82" t="n">
        <v>108</v>
      </c>
      <c r="B113" s="82" t="inlineStr">
        <is>
          <t>P1–P3</t>
        </is>
      </c>
      <c r="C113" s="82" t="inlineStr">
        <is>
          <t>P3</t>
        </is>
      </c>
      <c r="D113" s="87" t="inlineStr">
        <is>
          <t>數學科</t>
        </is>
      </c>
      <c r="E113" s="88" t="inlineStr">
        <is>
          <t>AI 與數碼素養</t>
        </is>
      </c>
      <c r="F113" s="88" t="inlineStr">
        <is>
          <t>利用互動幾何與虛擬教具輔助空間視覺化，解題運算堅持離線紙筆，確保基本運算流暢度</t>
        </is>
      </c>
      <c r="G113" s="88" t="inlineStr">
        <is>
          <t>互動軟體探究紀錄、純紙筆運算練習簿</t>
        </is>
      </c>
      <c r="H113" s="89" t="inlineStr">
        <is>
          <t>未檢視</t>
        </is>
      </c>
      <c r="I113" s="90">
        <f>IF(H113="未出現",0,IF(H113="部分出現",1,IF(H113="穩定出現",2,"")))</f>
        <v/>
      </c>
      <c r="J113" s="87" t="n"/>
      <c r="K113" s="88" t="n"/>
      <c r="L113" s="48" t="n"/>
      <c r="M113" s="48" t="n"/>
      <c r="N113" s="48" t="n"/>
      <c r="O113" s="92" t="n"/>
    </row>
    <row r="114" ht="42" customHeight="1">
      <c r="A114" s="82" t="n">
        <v>109</v>
      </c>
      <c r="B114" s="82" t="inlineStr">
        <is>
          <t>P4–P6</t>
        </is>
      </c>
      <c r="C114" s="82" t="inlineStr">
        <is>
          <t>P4</t>
        </is>
      </c>
      <c r="D114" s="87" t="inlineStr">
        <is>
          <t>數學科</t>
        </is>
      </c>
      <c r="E114" s="88" t="inlineStr">
        <is>
          <t>跨學科閱讀</t>
        </is>
      </c>
      <c r="F114" s="88" t="inlineStr">
        <is>
          <t>解讀含統計圖表、折線圖、複合單位之長情境題（200字以上），抽取數量關係並繪製示意圖</t>
        </is>
      </c>
      <c r="G114" s="88" t="inlineStr">
        <is>
          <t>情境長題題幹標註紙、數量關係示意草稿圖</t>
        </is>
      </c>
      <c r="H114" s="89" t="inlineStr">
        <is>
          <t>未檢視</t>
        </is>
      </c>
      <c r="I114" s="90">
        <f>IF(H114="未出現",0,IF(H114="部分出現",1,IF(H114="穩定出現",2,"")))</f>
        <v/>
      </c>
      <c r="J114" s="87" t="n"/>
      <c r="K114" s="88" t="n"/>
      <c r="L114" s="48" t="n"/>
      <c r="M114" s="48" t="n"/>
      <c r="N114" s="48" t="n"/>
      <c r="O114" s="92" t="n"/>
    </row>
    <row r="115" ht="42" customHeight="1">
      <c r="A115" s="82" t="n">
        <v>110</v>
      </c>
      <c r="B115" s="82" t="inlineStr">
        <is>
          <t>P4–P6</t>
        </is>
      </c>
      <c r="C115" s="82" t="inlineStr">
        <is>
          <t>P4</t>
        </is>
      </c>
      <c r="D115" s="87" t="inlineStr">
        <is>
          <t>數學科</t>
        </is>
      </c>
      <c r="E115" s="88" t="inlineStr">
        <is>
          <t>證據推理</t>
        </is>
      </c>
      <c r="F115" s="88" t="inlineStr">
        <is>
          <t>運用反例檢驗幾何圖形特徵與運算規律猜想，指出計算規則成立的邊界限制與條件</t>
        </is>
      </c>
      <c r="G115" s="88" t="inlineStr">
        <is>
          <t>猜想與反例記錄單、幾何幾何證明推理草稿</t>
        </is>
      </c>
      <c r="H115" s="89" t="inlineStr">
        <is>
          <t>未檢視</t>
        </is>
      </c>
      <c r="I115" s="90">
        <f>IF(H115="未出現",0,IF(H115="部分出現",1,IF(H115="穩定出現",2,"")))</f>
        <v/>
      </c>
      <c r="J115" s="87" t="n"/>
      <c r="K115" s="88" t="n"/>
      <c r="L115" s="48" t="n"/>
      <c r="M115" s="48" t="n"/>
      <c r="N115" s="48" t="n"/>
      <c r="O115" s="92" t="n"/>
    </row>
    <row r="116" ht="42" customHeight="1">
      <c r="A116" s="82" t="n">
        <v>111</v>
      </c>
      <c r="B116" s="82" t="inlineStr">
        <is>
          <t>P4–P6</t>
        </is>
      </c>
      <c r="C116" s="82" t="inlineStr">
        <is>
          <t>P4</t>
        </is>
      </c>
      <c r="D116" s="87" t="inlineStr">
        <is>
          <t>數學科</t>
        </is>
      </c>
      <c r="E116" s="88" t="inlineStr">
        <is>
          <t>解難與建模</t>
        </is>
      </c>
      <c r="F116" s="88" t="inlineStr">
        <is>
          <t>建立多步驟比例、面積或速率運算模型，帶入極端數值檢驗答案，根據誤差修正解法</t>
        </is>
      </c>
      <c r="G116" s="88" t="inlineStr">
        <is>
          <t>多步驟情境建模解題卡、極值檢驗修正筆記</t>
        </is>
      </c>
      <c r="H116" s="89" t="inlineStr">
        <is>
          <t>未檢視</t>
        </is>
      </c>
      <c r="I116" s="90">
        <f>IF(H116="未出現",0,IF(H116="部分出現",1,IF(H116="穩定出現",2,"")))</f>
        <v/>
      </c>
      <c r="J116" s="87" t="n"/>
      <c r="K116" s="88" t="n"/>
      <c r="L116" s="48" t="n"/>
      <c r="M116" s="48" t="n"/>
      <c r="N116" s="48" t="n"/>
      <c r="O116" s="92" t="n"/>
    </row>
    <row r="117" ht="42" customHeight="1">
      <c r="A117" s="82" t="n">
        <v>112</v>
      </c>
      <c r="B117" s="82" t="inlineStr">
        <is>
          <t>P4–P6</t>
        </is>
      </c>
      <c r="C117" s="82" t="inlineStr">
        <is>
          <t>P4</t>
        </is>
      </c>
      <c r="D117" s="87" t="inlineStr">
        <is>
          <t>數學科</t>
        </is>
      </c>
      <c r="E117" s="88" t="inlineStr">
        <is>
          <t>AI 與數碼素養</t>
        </is>
      </c>
      <c r="F117" s="88" t="inlineStr">
        <is>
          <t>手動驗算計算機或軟體所得數據，探索數位工具計算誤差，學習以估算檢驗計算機輸出</t>
        </is>
      </c>
      <c r="G117" s="88" t="inlineStr">
        <is>
          <t>手動驗算核對表、計算機工具使用規範簽署單</t>
        </is>
      </c>
      <c r="H117" s="89" t="inlineStr">
        <is>
          <t>未檢視</t>
        </is>
      </c>
      <c r="I117" s="90">
        <f>IF(H117="未出現",0,IF(H117="部分出現",1,IF(H117="穩定出現",2,"")))</f>
        <v/>
      </c>
      <c r="J117" s="87" t="n"/>
      <c r="K117" s="88" t="n"/>
      <c r="L117" s="48" t="n"/>
      <c r="M117" s="48" t="n"/>
      <c r="N117" s="48" t="n"/>
      <c r="O117" s="92" t="n"/>
    </row>
    <row r="118" ht="42" customHeight="1">
      <c r="A118" s="82" t="n">
        <v>113</v>
      </c>
      <c r="B118" s="82" t="inlineStr">
        <is>
          <t>P4–P6</t>
        </is>
      </c>
      <c r="C118" s="82" t="inlineStr">
        <is>
          <t>P5</t>
        </is>
      </c>
      <c r="D118" s="87" t="inlineStr">
        <is>
          <t>數學科</t>
        </is>
      </c>
      <c r="E118" s="88" t="inlineStr">
        <is>
          <t>跨學科閱讀</t>
        </is>
      </c>
      <c r="F118" s="88" t="inlineStr">
        <is>
          <t>解讀含統計圖表、折線圖、複合單位之長情境題（200字以上），抽取數量關係並繪製示意圖</t>
        </is>
      </c>
      <c r="G118" s="88" t="inlineStr">
        <is>
          <t>情境長題題幹標註紙、數量關係示意草稿圖</t>
        </is>
      </c>
      <c r="H118" s="89" t="inlineStr">
        <is>
          <t>未檢視</t>
        </is>
      </c>
      <c r="I118" s="90">
        <f>IF(H118="未出現",0,IF(H118="部分出現",1,IF(H118="穩定出現",2,"")))</f>
        <v/>
      </c>
      <c r="J118" s="87" t="n"/>
      <c r="K118" s="88" t="n"/>
      <c r="L118" s="48" t="n"/>
      <c r="M118" s="48" t="n"/>
      <c r="N118" s="48" t="n"/>
      <c r="O118" s="92" t="n"/>
    </row>
    <row r="119" ht="42" customHeight="1">
      <c r="A119" s="82" t="n">
        <v>114</v>
      </c>
      <c r="B119" s="82" t="inlineStr">
        <is>
          <t>P4–P6</t>
        </is>
      </c>
      <c r="C119" s="82" t="inlineStr">
        <is>
          <t>P5</t>
        </is>
      </c>
      <c r="D119" s="87" t="inlineStr">
        <is>
          <t>數學科</t>
        </is>
      </c>
      <c r="E119" s="88" t="inlineStr">
        <is>
          <t>證據推理</t>
        </is>
      </c>
      <c r="F119" s="88" t="inlineStr">
        <is>
          <t>運用反例檢驗幾何圖形特徵與運算規律猜想，指出計算規則成立的邊界限制與條件</t>
        </is>
      </c>
      <c r="G119" s="88" t="inlineStr">
        <is>
          <t>猜想與反例記錄單、幾何幾何證明推理草稿</t>
        </is>
      </c>
      <c r="H119" s="89" t="inlineStr">
        <is>
          <t>未檢視</t>
        </is>
      </c>
      <c r="I119" s="90">
        <f>IF(H119="未出現",0,IF(H119="部分出現",1,IF(H119="穩定出現",2,"")))</f>
        <v/>
      </c>
      <c r="J119" s="87" t="n"/>
      <c r="K119" s="88" t="n"/>
      <c r="L119" s="48" t="n"/>
      <c r="M119" s="48" t="n"/>
      <c r="N119" s="48" t="n"/>
      <c r="O119" s="92" t="n"/>
    </row>
    <row r="120" ht="42" customHeight="1">
      <c r="A120" s="82" t="n">
        <v>115</v>
      </c>
      <c r="B120" s="82" t="inlineStr">
        <is>
          <t>P4–P6</t>
        </is>
      </c>
      <c r="C120" s="82" t="inlineStr">
        <is>
          <t>P5</t>
        </is>
      </c>
      <c r="D120" s="87" t="inlineStr">
        <is>
          <t>數學科</t>
        </is>
      </c>
      <c r="E120" s="88" t="inlineStr">
        <is>
          <t>解難與建模</t>
        </is>
      </c>
      <c r="F120" s="88" t="inlineStr">
        <is>
          <t>建立多步驟比例、面積或速率運算模型，帶入極端數值檢驗答案，根據誤差修正解法</t>
        </is>
      </c>
      <c r="G120" s="88" t="inlineStr">
        <is>
          <t>多步驟情境建模解題卡、極值檢驗修正筆記</t>
        </is>
      </c>
      <c r="H120" s="89" t="inlineStr">
        <is>
          <t>未檢視</t>
        </is>
      </c>
      <c r="I120" s="90">
        <f>IF(H120="未出現",0,IF(H120="部分出現",1,IF(H120="穩定出現",2,"")))</f>
        <v/>
      </c>
      <c r="J120" s="87" t="n"/>
      <c r="K120" s="88" t="n"/>
      <c r="L120" s="48" t="n"/>
      <c r="M120" s="48" t="n"/>
      <c r="N120" s="48" t="n"/>
      <c r="O120" s="92" t="n"/>
    </row>
    <row r="121" ht="42" customHeight="1">
      <c r="A121" s="82" t="n">
        <v>116</v>
      </c>
      <c r="B121" s="82" t="inlineStr">
        <is>
          <t>P4–P6</t>
        </is>
      </c>
      <c r="C121" s="82" t="inlineStr">
        <is>
          <t>P5</t>
        </is>
      </c>
      <c r="D121" s="87" t="inlineStr">
        <is>
          <t>數學科</t>
        </is>
      </c>
      <c r="E121" s="88" t="inlineStr">
        <is>
          <t>AI 與數碼素養</t>
        </is>
      </c>
      <c r="F121" s="88" t="inlineStr">
        <is>
          <t>手動驗算計算機或軟體所得數據，探索數位工具計算誤差，學習以估算檢驗計算機輸出</t>
        </is>
      </c>
      <c r="G121" s="88" t="inlineStr">
        <is>
          <t>手動驗算核對表、計算機工具使用規範簽署單</t>
        </is>
      </c>
      <c r="H121" s="89" t="inlineStr">
        <is>
          <t>未檢視</t>
        </is>
      </c>
      <c r="I121" s="90">
        <f>IF(H121="未出現",0,IF(H121="部分出現",1,IF(H121="穩定出現",2,"")))</f>
        <v/>
      </c>
      <c r="J121" s="87" t="n"/>
      <c r="K121" s="88" t="n"/>
      <c r="L121" s="48" t="n"/>
      <c r="M121" s="48" t="n"/>
      <c r="N121" s="48" t="n"/>
      <c r="O121" s="92" t="n"/>
    </row>
    <row r="122" ht="42" customHeight="1">
      <c r="A122" s="82" t="n">
        <v>117</v>
      </c>
      <c r="B122" s="82" t="inlineStr">
        <is>
          <t>P4–P6</t>
        </is>
      </c>
      <c r="C122" s="82" t="inlineStr">
        <is>
          <t>P6</t>
        </is>
      </c>
      <c r="D122" s="87" t="inlineStr">
        <is>
          <t>數學科</t>
        </is>
      </c>
      <c r="E122" s="88" t="inlineStr">
        <is>
          <t>跨學科閱讀</t>
        </is>
      </c>
      <c r="F122" s="88" t="inlineStr">
        <is>
          <t>解讀含統計圖表、折線圖、複合單位之長情境題（200字以上），抽取數量關係並繪製示意圖</t>
        </is>
      </c>
      <c r="G122" s="88" t="inlineStr">
        <is>
          <t>情境長題題幹標註紙、數量關係示意草稿圖</t>
        </is>
      </c>
      <c r="H122" s="89" t="inlineStr">
        <is>
          <t>未檢視</t>
        </is>
      </c>
      <c r="I122" s="90">
        <f>IF(H122="未出現",0,IF(H122="部分出現",1,IF(H122="穩定出現",2,"")))</f>
        <v/>
      </c>
      <c r="J122" s="87" t="n"/>
      <c r="K122" s="88" t="n"/>
      <c r="L122" s="48" t="n"/>
      <c r="M122" s="48" t="n"/>
      <c r="N122" s="48" t="n"/>
      <c r="O122" s="92" t="n"/>
    </row>
    <row r="123" ht="42" customHeight="1">
      <c r="A123" s="82" t="n">
        <v>118</v>
      </c>
      <c r="B123" s="82" t="inlineStr">
        <is>
          <t>P4–P6</t>
        </is>
      </c>
      <c r="C123" s="82" t="inlineStr">
        <is>
          <t>P6</t>
        </is>
      </c>
      <c r="D123" s="87" t="inlineStr">
        <is>
          <t>數學科</t>
        </is>
      </c>
      <c r="E123" s="88" t="inlineStr">
        <is>
          <t>證據推理</t>
        </is>
      </c>
      <c r="F123" s="88" t="inlineStr">
        <is>
          <t>運用反例檢驗幾何圖形特徵與運算規律猜想，指出計算規則成立的邊界限制與條件</t>
        </is>
      </c>
      <c r="G123" s="88" t="inlineStr">
        <is>
          <t>猜想與反例記錄單、幾何幾何證明推理草稿</t>
        </is>
      </c>
      <c r="H123" s="89" t="inlineStr">
        <is>
          <t>未檢視</t>
        </is>
      </c>
      <c r="I123" s="90">
        <f>IF(H123="未出現",0,IF(H123="部分出現",1,IF(H123="穩定出現",2,"")))</f>
        <v/>
      </c>
      <c r="J123" s="87" t="n"/>
      <c r="K123" s="88" t="n"/>
      <c r="L123" s="48" t="n"/>
      <c r="M123" s="48" t="n"/>
      <c r="N123" s="48" t="n"/>
      <c r="O123" s="92" t="n"/>
    </row>
    <row r="124" ht="42" customHeight="1">
      <c r="A124" s="82" t="n">
        <v>119</v>
      </c>
      <c r="B124" s="82" t="inlineStr">
        <is>
          <t>P4–P6</t>
        </is>
      </c>
      <c r="C124" s="82" t="inlineStr">
        <is>
          <t>P6</t>
        </is>
      </c>
      <c r="D124" s="87" t="inlineStr">
        <is>
          <t>數學科</t>
        </is>
      </c>
      <c r="E124" s="88" t="inlineStr">
        <is>
          <t>解難與建模</t>
        </is>
      </c>
      <c r="F124" s="88" t="inlineStr">
        <is>
          <t>建立多步驟比例、面積或速率運算模型，帶入極端數值檢驗答案，根據誤差修正解法</t>
        </is>
      </c>
      <c r="G124" s="88" t="inlineStr">
        <is>
          <t>多步驟情境建模解題卡、極值檢驗修正筆記</t>
        </is>
      </c>
      <c r="H124" s="89" t="inlineStr">
        <is>
          <t>未檢視</t>
        </is>
      </c>
      <c r="I124" s="90">
        <f>IF(H124="未出現",0,IF(H124="部分出現",1,IF(H124="穩定出現",2,"")))</f>
        <v/>
      </c>
      <c r="J124" s="87" t="n"/>
      <c r="K124" s="88" t="n"/>
      <c r="L124" s="48" t="n"/>
      <c r="M124" s="48" t="n"/>
      <c r="N124" s="48" t="n"/>
      <c r="O124" s="92" t="n"/>
    </row>
    <row r="125" ht="42" customHeight="1">
      <c r="A125" s="82" t="n">
        <v>120</v>
      </c>
      <c r="B125" s="82" t="inlineStr">
        <is>
          <t>P4–P6</t>
        </is>
      </c>
      <c r="C125" s="82" t="inlineStr">
        <is>
          <t>P6</t>
        </is>
      </c>
      <c r="D125" s="87" t="inlineStr">
        <is>
          <t>數學科</t>
        </is>
      </c>
      <c r="E125" s="88" t="inlineStr">
        <is>
          <t>AI 與數碼素養</t>
        </is>
      </c>
      <c r="F125" s="88" t="inlineStr">
        <is>
          <t>手動驗算計算機或軟體所得數據，探索數位工具計算誤差，學習以估算檢驗計算機輸出</t>
        </is>
      </c>
      <c r="G125" s="88" t="inlineStr">
        <is>
          <t>手動驗算核對表、計算機工具使用規範簽署單</t>
        </is>
      </c>
      <c r="H125" s="89" t="inlineStr">
        <is>
          <t>未檢視</t>
        </is>
      </c>
      <c r="I125" s="90">
        <f>IF(H125="未出現",0,IF(H125="部分出現",1,IF(H125="穩定出現",2,"")))</f>
        <v/>
      </c>
      <c r="J125" s="87" t="n"/>
      <c r="K125" s="88" t="n"/>
      <c r="L125" s="48" t="n"/>
      <c r="M125" s="48" t="n"/>
      <c r="N125" s="48" t="n"/>
      <c r="O125" s="92" t="n"/>
    </row>
    <row r="126" ht="42" customHeight="1">
      <c r="A126" s="82" t="n">
        <v>121</v>
      </c>
      <c r="B126" s="82" t="inlineStr">
        <is>
          <t>S1–S3</t>
        </is>
      </c>
      <c r="C126" s="82" t="inlineStr">
        <is>
          <t>S1</t>
        </is>
      </c>
      <c r="D126" s="87" t="inlineStr">
        <is>
          <t>數學科</t>
        </is>
      </c>
      <c r="E126" s="88" t="inlineStr">
        <is>
          <t>跨學科閱讀</t>
        </is>
      </c>
      <c r="F126" s="88" t="inlineStr">
        <is>
          <t>閱讀跨領域真實情境文本（水電階梯計價、理財利率、碳排放模型），解構多變數關係與代數約束</t>
        </is>
      </c>
      <c r="G126" s="88" t="inlineStr">
        <is>
          <t>真實情境建模草稿、變數抽取與約束條件分析表</t>
        </is>
      </c>
      <c r="H126" s="89" t="inlineStr">
        <is>
          <t>未檢視</t>
        </is>
      </c>
      <c r="I126" s="90">
        <f>IF(H126="未出現",0,IF(H126="部分出現",1,IF(H126="穩定出現",2,"")))</f>
        <v/>
      </c>
      <c r="J126" s="87" t="n"/>
      <c r="K126" s="88" t="n"/>
      <c r="L126" s="48" t="n"/>
      <c r="M126" s="48" t="n"/>
      <c r="N126" s="48" t="n"/>
      <c r="O126" s="92" t="n"/>
    </row>
    <row r="127" ht="42" customHeight="1">
      <c r="A127" s="82" t="n">
        <v>122</v>
      </c>
      <c r="B127" s="82" t="inlineStr">
        <is>
          <t>S1–S3</t>
        </is>
      </c>
      <c r="C127" s="82" t="inlineStr">
        <is>
          <t>S1</t>
        </is>
      </c>
      <c r="D127" s="87" t="inlineStr">
        <is>
          <t>數學科</t>
        </is>
      </c>
      <c r="E127" s="88" t="inlineStr">
        <is>
          <t>證據推理</t>
        </is>
      </c>
      <c r="F127" s="88" t="inlineStr">
        <is>
          <t>撰寫嚴謹代數與幾何形式化證明，清晰交代每一步定理依據，辨析充分條件與必要條件</t>
        </is>
      </c>
      <c r="G127" s="88" t="inlineStr">
        <is>
          <t>幾何三段論證明作業、代數等式嚴謹推理題</t>
        </is>
      </c>
      <c r="H127" s="89" t="inlineStr">
        <is>
          <t>未檢視</t>
        </is>
      </c>
      <c r="I127" s="90">
        <f>IF(H127="未出現",0,IF(H127="部分出現",1,IF(H127="穩定出現",2,"")))</f>
        <v/>
      </c>
      <c r="J127" s="87" t="n"/>
      <c r="K127" s="88" t="n"/>
      <c r="L127" s="48" t="n"/>
      <c r="M127" s="48" t="n"/>
      <c r="N127" s="48" t="n"/>
      <c r="O127" s="92" t="n"/>
    </row>
    <row r="128" ht="42" customHeight="1">
      <c r="A128" s="82" t="n">
        <v>123</v>
      </c>
      <c r="B128" s="82" t="inlineStr">
        <is>
          <t>S1–S3</t>
        </is>
      </c>
      <c r="C128" s="82" t="inlineStr">
        <is>
          <t>S1</t>
        </is>
      </c>
      <c r="D128" s="87" t="inlineStr">
        <is>
          <t>數學科</t>
        </is>
      </c>
      <c r="E128" s="88" t="inlineStr">
        <is>
          <t>解難與建模</t>
        </is>
      </c>
      <c r="F128" s="88" t="inlineStr">
        <is>
          <t>建立函數、方程組或幾何坐標模型解決工程/經濟最優化問題，討論解的存在性與實際物理意義</t>
        </is>
      </c>
      <c r="G128" s="88" t="inlineStr">
        <is>
          <t>最優化建模解題報告、解的實際約束討論記錄</t>
        </is>
      </c>
      <c r="H128" s="89" t="inlineStr">
        <is>
          <t>未檢視</t>
        </is>
      </c>
      <c r="I128" s="90">
        <f>IF(H128="未出現",0,IF(H128="部分出現",1,IF(H128="穩定出現",2,"")))</f>
        <v/>
      </c>
      <c r="J128" s="87" t="n"/>
      <c r="K128" s="88" t="n"/>
      <c r="L128" s="48" t="n"/>
      <c r="M128" s="48" t="n"/>
      <c r="N128" s="48" t="n"/>
      <c r="O128" s="92" t="n"/>
    </row>
    <row r="129" ht="42" customHeight="1">
      <c r="A129" s="82" t="n">
        <v>124</v>
      </c>
      <c r="B129" s="82" t="inlineStr">
        <is>
          <t>S1–S3</t>
        </is>
      </c>
      <c r="C129" s="82" t="inlineStr">
        <is>
          <t>S1</t>
        </is>
      </c>
      <c r="D129" s="87" t="inlineStr">
        <is>
          <t>數學科</t>
        </is>
      </c>
      <c r="E129" s="88" t="inlineStr">
        <is>
          <t>AI 與數碼素養</t>
        </is>
      </c>
      <c r="F129" s="88" t="inlineStr">
        <is>
          <t>實施 Q-V-R-E-R：Prompt 要求 AI 提供三種解題途徑（Q），手工驗算揪出 AI 符號運算漏洞（V），重構解題步驟（R/E/R）</t>
        </is>
      </c>
      <c r="G129" s="88" t="inlineStr">
        <is>
          <t>AI 算理解題除錯紀錄單、多解法比較分析作業</t>
        </is>
      </c>
      <c r="H129" s="89" t="inlineStr">
        <is>
          <t>未檢視</t>
        </is>
      </c>
      <c r="I129" s="90">
        <f>IF(H129="未出現",0,IF(H129="部分出現",1,IF(H129="穩定出現",2,"")))</f>
        <v/>
      </c>
      <c r="J129" s="87" t="n"/>
      <c r="K129" s="88" t="n"/>
      <c r="L129" s="48" t="n"/>
      <c r="M129" s="48" t="n"/>
      <c r="N129" s="48" t="n"/>
      <c r="O129" s="92" t="n"/>
    </row>
    <row r="130" ht="42" customHeight="1">
      <c r="A130" s="82" t="n">
        <v>125</v>
      </c>
      <c r="B130" s="82" t="inlineStr">
        <is>
          <t>S1–S3</t>
        </is>
      </c>
      <c r="C130" s="82" t="inlineStr">
        <is>
          <t>S2</t>
        </is>
      </c>
      <c r="D130" s="87" t="inlineStr">
        <is>
          <t>數學科</t>
        </is>
      </c>
      <c r="E130" s="88" t="inlineStr">
        <is>
          <t>跨學科閱讀</t>
        </is>
      </c>
      <c r="F130" s="88" t="inlineStr">
        <is>
          <t>閱讀跨領域真實情境文本（水電階梯計價、理財利率、碳排放模型），解構多變數關係與代數約束</t>
        </is>
      </c>
      <c r="G130" s="88" t="inlineStr">
        <is>
          <t>真實情境建模草稿、變數抽取與約束條件分析表</t>
        </is>
      </c>
      <c r="H130" s="89" t="inlineStr">
        <is>
          <t>未檢視</t>
        </is>
      </c>
      <c r="I130" s="90">
        <f>IF(H130="未出現",0,IF(H130="部分出現",1,IF(H130="穩定出現",2,"")))</f>
        <v/>
      </c>
      <c r="J130" s="87" t="n"/>
      <c r="K130" s="88" t="n"/>
      <c r="L130" s="48" t="n"/>
      <c r="M130" s="48" t="n"/>
      <c r="N130" s="48" t="n"/>
      <c r="O130" s="92" t="n"/>
    </row>
    <row r="131" ht="42" customHeight="1">
      <c r="A131" s="82" t="n">
        <v>126</v>
      </c>
      <c r="B131" s="82" t="inlineStr">
        <is>
          <t>S1–S3</t>
        </is>
      </c>
      <c r="C131" s="82" t="inlineStr">
        <is>
          <t>S2</t>
        </is>
      </c>
      <c r="D131" s="87" t="inlineStr">
        <is>
          <t>數學科</t>
        </is>
      </c>
      <c r="E131" s="88" t="inlineStr">
        <is>
          <t>證據推理</t>
        </is>
      </c>
      <c r="F131" s="88" t="inlineStr">
        <is>
          <t>撰寫嚴謹代數與幾何形式化證明，清晰交代每一步定理依據，辨析充分條件與必要條件</t>
        </is>
      </c>
      <c r="G131" s="88" t="inlineStr">
        <is>
          <t>幾何三段論證明作業、代數等式嚴謹推理題</t>
        </is>
      </c>
      <c r="H131" s="89" t="inlineStr">
        <is>
          <t>未檢視</t>
        </is>
      </c>
      <c r="I131" s="90">
        <f>IF(H131="未出現",0,IF(H131="部分出現",1,IF(H131="穩定出現",2,"")))</f>
        <v/>
      </c>
      <c r="J131" s="87" t="n"/>
      <c r="K131" s="88" t="n"/>
      <c r="L131" s="48" t="n"/>
      <c r="M131" s="48" t="n"/>
      <c r="N131" s="48" t="n"/>
      <c r="O131" s="92" t="n"/>
    </row>
    <row r="132" ht="42" customHeight="1">
      <c r="A132" s="82" t="n">
        <v>127</v>
      </c>
      <c r="B132" s="82" t="inlineStr">
        <is>
          <t>S1–S3</t>
        </is>
      </c>
      <c r="C132" s="82" t="inlineStr">
        <is>
          <t>S2</t>
        </is>
      </c>
      <c r="D132" s="87" t="inlineStr">
        <is>
          <t>數學科</t>
        </is>
      </c>
      <c r="E132" s="88" t="inlineStr">
        <is>
          <t>解難與建模</t>
        </is>
      </c>
      <c r="F132" s="88" t="inlineStr">
        <is>
          <t>建立函數、方程組或幾何坐標模型解決工程/經濟最優化問題，討論解的存在性與實際物理意義</t>
        </is>
      </c>
      <c r="G132" s="88" t="inlineStr">
        <is>
          <t>最優化建模解題報告、解的實際約束討論記錄</t>
        </is>
      </c>
      <c r="H132" s="89" t="inlineStr">
        <is>
          <t>未檢視</t>
        </is>
      </c>
      <c r="I132" s="90">
        <f>IF(H132="未出現",0,IF(H132="部分出現",1,IF(H132="穩定出現",2,"")))</f>
        <v/>
      </c>
      <c r="J132" s="87" t="n"/>
      <c r="K132" s="88" t="n"/>
      <c r="L132" s="48" t="n"/>
      <c r="M132" s="48" t="n"/>
      <c r="N132" s="48" t="n"/>
      <c r="O132" s="92" t="n"/>
    </row>
    <row r="133" ht="42" customHeight="1">
      <c r="A133" s="82" t="n">
        <v>128</v>
      </c>
      <c r="B133" s="82" t="inlineStr">
        <is>
          <t>S1–S3</t>
        </is>
      </c>
      <c r="C133" s="82" t="inlineStr">
        <is>
          <t>S2</t>
        </is>
      </c>
      <c r="D133" s="87" t="inlineStr">
        <is>
          <t>數學科</t>
        </is>
      </c>
      <c r="E133" s="88" t="inlineStr">
        <is>
          <t>AI 與數碼素養</t>
        </is>
      </c>
      <c r="F133" s="88" t="inlineStr">
        <is>
          <t>實施 Q-V-R-E-R：Prompt 要求 AI 提供三種解題途徑（Q），手工驗算揪出 AI 符號運算漏洞（V），重構解題步驟（R/E/R）</t>
        </is>
      </c>
      <c r="G133" s="88" t="inlineStr">
        <is>
          <t>AI 算理解題除錯紀錄單、多解法比較分析作業</t>
        </is>
      </c>
      <c r="H133" s="89" t="inlineStr">
        <is>
          <t>未檢視</t>
        </is>
      </c>
      <c r="I133" s="90">
        <f>IF(H133="未出現",0,IF(H133="部分出現",1,IF(H133="穩定出現",2,"")))</f>
        <v/>
      </c>
      <c r="J133" s="87" t="n"/>
      <c r="K133" s="88" t="n"/>
      <c r="L133" s="48" t="n"/>
      <c r="M133" s="48" t="n"/>
      <c r="N133" s="48" t="n"/>
      <c r="O133" s="92" t="n"/>
    </row>
    <row r="134" ht="42" customHeight="1">
      <c r="A134" s="82" t="n">
        <v>129</v>
      </c>
      <c r="B134" s="82" t="inlineStr">
        <is>
          <t>S1–S3</t>
        </is>
      </c>
      <c r="C134" s="82" t="inlineStr">
        <is>
          <t>S3</t>
        </is>
      </c>
      <c r="D134" s="87" t="inlineStr">
        <is>
          <t>數學科</t>
        </is>
      </c>
      <c r="E134" s="88" t="inlineStr">
        <is>
          <t>跨學科閱讀</t>
        </is>
      </c>
      <c r="F134" s="88" t="inlineStr">
        <is>
          <t>閱讀跨領域真實情境文本（水電階梯計價、理財利率、碳排放模型），解構多變數關係與代數約束</t>
        </is>
      </c>
      <c r="G134" s="88" t="inlineStr">
        <is>
          <t>真實情境建模草稿、變數抽取與約束條件分析表</t>
        </is>
      </c>
      <c r="H134" s="89" t="inlineStr">
        <is>
          <t>未檢視</t>
        </is>
      </c>
      <c r="I134" s="90">
        <f>IF(H134="未出現",0,IF(H134="部分出現",1,IF(H134="穩定出現",2,"")))</f>
        <v/>
      </c>
      <c r="J134" s="87" t="n"/>
      <c r="K134" s="88" t="n"/>
      <c r="L134" s="48" t="n"/>
      <c r="M134" s="48" t="n"/>
      <c r="N134" s="48" t="n"/>
      <c r="O134" s="92" t="n"/>
    </row>
    <row r="135" ht="42" customHeight="1">
      <c r="A135" s="82" t="n">
        <v>130</v>
      </c>
      <c r="B135" s="82" t="inlineStr">
        <is>
          <t>S1–S3</t>
        </is>
      </c>
      <c r="C135" s="82" t="inlineStr">
        <is>
          <t>S3</t>
        </is>
      </c>
      <c r="D135" s="87" t="inlineStr">
        <is>
          <t>數學科</t>
        </is>
      </c>
      <c r="E135" s="88" t="inlineStr">
        <is>
          <t>證據推理</t>
        </is>
      </c>
      <c r="F135" s="88" t="inlineStr">
        <is>
          <t>撰寫嚴謹代數與幾何形式化證明，清晰交代每一步定理依據，辨析充分條件與必要條件</t>
        </is>
      </c>
      <c r="G135" s="88" t="inlineStr">
        <is>
          <t>幾何三段論證明作業、代數等式嚴謹推理題</t>
        </is>
      </c>
      <c r="H135" s="89" t="inlineStr">
        <is>
          <t>未檢視</t>
        </is>
      </c>
      <c r="I135" s="90">
        <f>IF(H135="未出現",0,IF(H135="部分出現",1,IF(H135="穩定出現",2,"")))</f>
        <v/>
      </c>
      <c r="J135" s="87" t="n"/>
      <c r="K135" s="88" t="n"/>
      <c r="L135" s="48" t="n"/>
      <c r="M135" s="48" t="n"/>
      <c r="N135" s="48" t="n"/>
      <c r="O135" s="92" t="n"/>
    </row>
    <row r="136" ht="42" customHeight="1">
      <c r="A136" s="82" t="n">
        <v>131</v>
      </c>
      <c r="B136" s="82" t="inlineStr">
        <is>
          <t>S1–S3</t>
        </is>
      </c>
      <c r="C136" s="82" t="inlineStr">
        <is>
          <t>S3</t>
        </is>
      </c>
      <c r="D136" s="87" t="inlineStr">
        <is>
          <t>數學科</t>
        </is>
      </c>
      <c r="E136" s="88" t="inlineStr">
        <is>
          <t>解難與建模</t>
        </is>
      </c>
      <c r="F136" s="88" t="inlineStr">
        <is>
          <t>建立函數、方程組或幾何坐標模型解決工程/經濟最優化問題，討論解的存在性與實際物理意義</t>
        </is>
      </c>
      <c r="G136" s="88" t="inlineStr">
        <is>
          <t>最優化建模解題報告、解的實際約束討論記錄</t>
        </is>
      </c>
      <c r="H136" s="89" t="inlineStr">
        <is>
          <t>未檢視</t>
        </is>
      </c>
      <c r="I136" s="90">
        <f>IF(H136="未出現",0,IF(H136="部分出現",1,IF(H136="穩定出現",2,"")))</f>
        <v/>
      </c>
      <c r="J136" s="87" t="n"/>
      <c r="K136" s="88" t="n"/>
      <c r="L136" s="48" t="n"/>
      <c r="M136" s="48" t="n"/>
      <c r="N136" s="48" t="n"/>
      <c r="O136" s="92" t="n"/>
    </row>
    <row r="137" ht="42" customHeight="1">
      <c r="A137" s="82" t="n">
        <v>132</v>
      </c>
      <c r="B137" s="82" t="inlineStr">
        <is>
          <t>S1–S3</t>
        </is>
      </c>
      <c r="C137" s="82" t="inlineStr">
        <is>
          <t>S3</t>
        </is>
      </c>
      <c r="D137" s="87" t="inlineStr">
        <is>
          <t>數學科</t>
        </is>
      </c>
      <c r="E137" s="88" t="inlineStr">
        <is>
          <t>AI 與數碼素養</t>
        </is>
      </c>
      <c r="F137" s="88" t="inlineStr">
        <is>
          <t>實施 Q-V-R-E-R：Prompt 要求 AI 提供三種解題途徑（Q），手工驗算揪出 AI 符號運算漏洞（V），重構解題步驟（R/E/R）</t>
        </is>
      </c>
      <c r="G137" s="88" t="inlineStr">
        <is>
          <t>AI 算理解題除錯紀錄單、多解法比較分析作業</t>
        </is>
      </c>
      <c r="H137" s="89" t="inlineStr">
        <is>
          <t>未檢視</t>
        </is>
      </c>
      <c r="I137" s="90">
        <f>IF(H137="未出現",0,IF(H137="部分出現",1,IF(H137="穩定出現",2,"")))</f>
        <v/>
      </c>
      <c r="J137" s="87" t="n"/>
      <c r="K137" s="88" t="n"/>
      <c r="L137" s="48" t="n"/>
      <c r="M137" s="48" t="n"/>
      <c r="N137" s="48" t="n"/>
      <c r="O137" s="92" t="n"/>
    </row>
    <row r="138" ht="42" customHeight="1">
      <c r="A138" s="82" t="n">
        <v>133</v>
      </c>
      <c r="B138" s="82" t="inlineStr">
        <is>
          <t>S4–S6</t>
        </is>
      </c>
      <c r="C138" s="82" t="inlineStr">
        <is>
          <t>S4</t>
        </is>
      </c>
      <c r="D138" s="87" t="inlineStr">
        <is>
          <t>數學科</t>
        </is>
      </c>
      <c r="E138" s="88" t="inlineStr">
        <is>
          <t>跨學科閱讀</t>
        </is>
      </c>
      <c r="F138" s="88" t="inlineStr">
        <is>
          <t>研讀統計調查、微積分優化與機率決策文本，精確理解圖表極限、邊界條件與複雜數據語意</t>
        </is>
      </c>
      <c r="G138" s="88" t="inlineStr">
        <is>
          <t>數學建模競賽題解報告、數據擬合文本解讀紀錄</t>
        </is>
      </c>
      <c r="H138" s="89" t="inlineStr">
        <is>
          <t>未檢視</t>
        </is>
      </c>
      <c r="I138" s="90">
        <f>IF(H138="未出現",0,IF(H138="部分出現",1,IF(H138="穩定出現",2,"")))</f>
        <v/>
      </c>
      <c r="J138" s="87" t="n"/>
      <c r="K138" s="88" t="n"/>
      <c r="L138" s="48" t="n"/>
      <c r="M138" s="48" t="n"/>
      <c r="N138" s="48" t="n"/>
      <c r="O138" s="92" t="n"/>
    </row>
    <row r="139" ht="42" customHeight="1">
      <c r="A139" s="82" t="n">
        <v>134</v>
      </c>
      <c r="B139" s="82" t="inlineStr">
        <is>
          <t>S4–S6</t>
        </is>
      </c>
      <c r="C139" s="82" t="inlineStr">
        <is>
          <t>S4</t>
        </is>
      </c>
      <c r="D139" s="87" t="inlineStr">
        <is>
          <t>數學科</t>
        </is>
      </c>
      <c r="E139" s="88" t="inlineStr">
        <is>
          <t>證據推理</t>
        </is>
      </c>
      <c r="F139" s="88" t="inlineStr">
        <is>
          <t>開展隨機現象與統計推斷之嚴謹推理，檢驗顯著性，批判性評估模型假設前提是否合理</t>
        </is>
      </c>
      <c r="G139" s="88" t="inlineStr">
        <is>
          <t>統計假設檢定報告、誤差區間分析與模型反思</t>
        </is>
      </c>
      <c r="H139" s="89" t="inlineStr">
        <is>
          <t>未檢視</t>
        </is>
      </c>
      <c r="I139" s="90">
        <f>IF(H139="未出現",0,IF(H139="部分出現",1,IF(H139="穩定出現",2,"")))</f>
        <v/>
      </c>
      <c r="J139" s="87" t="n"/>
      <c r="K139" s="88" t="n"/>
      <c r="L139" s="48" t="n"/>
      <c r="M139" s="48" t="n"/>
      <c r="N139" s="48" t="n"/>
      <c r="O139" s="92" t="n"/>
    </row>
    <row r="140" ht="42" customHeight="1">
      <c r="A140" s="82" t="n">
        <v>135</v>
      </c>
      <c r="B140" s="82" t="inlineStr">
        <is>
          <t>S4–S6</t>
        </is>
      </c>
      <c r="C140" s="82" t="inlineStr">
        <is>
          <t>S4</t>
        </is>
      </c>
      <c r="D140" s="87" t="inlineStr">
        <is>
          <t>數學科</t>
        </is>
      </c>
      <c r="E140" s="88" t="inlineStr">
        <is>
          <t>解難與建模</t>
        </is>
      </c>
      <c r="F140" s="88" t="inlineStr">
        <is>
          <t>面對高階開放性現實問題（動態預測、資源配置），設計多套模型並開展靈敏度分析與反覆迭代</t>
        </is>
      </c>
      <c r="G140" s="88" t="inlineStr">
        <is>
          <t>校本數學建模專案報告、模型靈敏度測試圖表</t>
        </is>
      </c>
      <c r="H140" s="89" t="inlineStr">
        <is>
          <t>未檢視</t>
        </is>
      </c>
      <c r="I140" s="90">
        <f>IF(H140="未出現",0,IF(H140="部分出現",1,IF(H140="穩定出現",2,"")))</f>
        <v/>
      </c>
      <c r="J140" s="87" t="n"/>
      <c r="K140" s="88" t="n"/>
      <c r="L140" s="48" t="n"/>
      <c r="M140" s="48" t="n"/>
      <c r="N140" s="48" t="n"/>
      <c r="O140" s="92" t="n"/>
    </row>
    <row r="141" ht="42" customHeight="1">
      <c r="A141" s="82" t="n">
        <v>136</v>
      </c>
      <c r="B141" s="82" t="inlineStr">
        <is>
          <t>S4–S6</t>
        </is>
      </c>
      <c r="C141" s="82" t="inlineStr">
        <is>
          <t>S4</t>
        </is>
      </c>
      <c r="D141" s="87" t="inlineStr">
        <is>
          <t>數學科</t>
        </is>
      </c>
      <c r="E141" s="88" t="inlineStr">
        <is>
          <t>AI 與數碼素養</t>
        </is>
      </c>
      <c r="F141" s="88" t="inlineStr">
        <is>
          <t>解題初探與建模構思階段嚴格離線；驗證階段運用 Python/GeoGebra 進行大數據驗算，核查 AI 幻覺</t>
        </is>
      </c>
      <c r="G141" s="88" t="inlineStr">
        <is>
          <t>離線構思草稿、GeoGebra/Python 驗算代碼、AI 幻覺核實單</t>
        </is>
      </c>
      <c r="H141" s="89" t="inlineStr">
        <is>
          <t>未檢視</t>
        </is>
      </c>
      <c r="I141" s="90">
        <f>IF(H141="未出現",0,IF(H141="部分出現",1,IF(H141="穩定出現",2,"")))</f>
        <v/>
      </c>
      <c r="J141" s="87" t="n"/>
      <c r="K141" s="88" t="n"/>
      <c r="L141" s="48" t="n"/>
      <c r="M141" s="48" t="n"/>
      <c r="N141" s="48" t="n"/>
      <c r="O141" s="92" t="n"/>
    </row>
    <row r="142" ht="42" customHeight="1">
      <c r="A142" s="82" t="n">
        <v>137</v>
      </c>
      <c r="B142" s="82" t="inlineStr">
        <is>
          <t>S4–S6</t>
        </is>
      </c>
      <c r="C142" s="82" t="inlineStr">
        <is>
          <t>S5</t>
        </is>
      </c>
      <c r="D142" s="87" t="inlineStr">
        <is>
          <t>數學科</t>
        </is>
      </c>
      <c r="E142" s="88" t="inlineStr">
        <is>
          <t>跨學科閱讀</t>
        </is>
      </c>
      <c r="F142" s="88" t="inlineStr">
        <is>
          <t>研讀統計調查、微積分優化與機率決策文本，精確理解圖表極限、邊界條件與複雜數據語意</t>
        </is>
      </c>
      <c r="G142" s="88" t="inlineStr">
        <is>
          <t>數學建模競賽題解報告、數據擬合文本解讀紀錄</t>
        </is>
      </c>
      <c r="H142" s="89" t="inlineStr">
        <is>
          <t>未檢視</t>
        </is>
      </c>
      <c r="I142" s="90">
        <f>IF(H142="未出現",0,IF(H142="部分出現",1,IF(H142="穩定出現",2,"")))</f>
        <v/>
      </c>
      <c r="J142" s="87" t="n"/>
      <c r="K142" s="88" t="n"/>
      <c r="L142" s="48" t="n"/>
      <c r="M142" s="48" t="n"/>
      <c r="N142" s="48" t="n"/>
      <c r="O142" s="92" t="n"/>
    </row>
    <row r="143" ht="42" customHeight="1">
      <c r="A143" s="82" t="n">
        <v>138</v>
      </c>
      <c r="B143" s="82" t="inlineStr">
        <is>
          <t>S4–S6</t>
        </is>
      </c>
      <c r="C143" s="82" t="inlineStr">
        <is>
          <t>S5</t>
        </is>
      </c>
      <c r="D143" s="87" t="inlineStr">
        <is>
          <t>數學科</t>
        </is>
      </c>
      <c r="E143" s="88" t="inlineStr">
        <is>
          <t>證據推理</t>
        </is>
      </c>
      <c r="F143" s="88" t="inlineStr">
        <is>
          <t>開展隨機現象與統計推斷之嚴謹推理，檢驗顯著性，批判性評估模型假設前提是否合理</t>
        </is>
      </c>
      <c r="G143" s="88" t="inlineStr">
        <is>
          <t>統計假設檢定報告、誤差區間分析與模型反思</t>
        </is>
      </c>
      <c r="H143" s="89" t="inlineStr">
        <is>
          <t>未檢視</t>
        </is>
      </c>
      <c r="I143" s="90">
        <f>IF(H143="未出現",0,IF(H143="部分出現",1,IF(H143="穩定出現",2,"")))</f>
        <v/>
      </c>
      <c r="J143" s="87" t="n"/>
      <c r="K143" s="88" t="n"/>
      <c r="L143" s="48" t="n"/>
      <c r="M143" s="48" t="n"/>
      <c r="N143" s="48" t="n"/>
      <c r="O143" s="92" t="n"/>
    </row>
    <row r="144" ht="42" customHeight="1">
      <c r="A144" s="82" t="n">
        <v>139</v>
      </c>
      <c r="B144" s="82" t="inlineStr">
        <is>
          <t>S4–S6</t>
        </is>
      </c>
      <c r="C144" s="82" t="inlineStr">
        <is>
          <t>S5</t>
        </is>
      </c>
      <c r="D144" s="87" t="inlineStr">
        <is>
          <t>數學科</t>
        </is>
      </c>
      <c r="E144" s="88" t="inlineStr">
        <is>
          <t>解難與建模</t>
        </is>
      </c>
      <c r="F144" s="88" t="inlineStr">
        <is>
          <t>面對高階開放性現實問題（動態預測、資源配置），設計多套模型並開展靈敏度分析與反覆迭代</t>
        </is>
      </c>
      <c r="G144" s="88" t="inlineStr">
        <is>
          <t>校本數學建模專案報告、模型靈敏度測試圖表</t>
        </is>
      </c>
      <c r="H144" s="89" t="inlineStr">
        <is>
          <t>未檢視</t>
        </is>
      </c>
      <c r="I144" s="90">
        <f>IF(H144="未出現",0,IF(H144="部分出現",1,IF(H144="穩定出現",2,"")))</f>
        <v/>
      </c>
      <c r="J144" s="87" t="n"/>
      <c r="K144" s="88" t="n"/>
      <c r="L144" s="48" t="n"/>
      <c r="M144" s="48" t="n"/>
      <c r="N144" s="48" t="n"/>
      <c r="O144" s="92" t="n"/>
    </row>
    <row r="145" ht="42" customHeight="1">
      <c r="A145" s="82" t="n">
        <v>140</v>
      </c>
      <c r="B145" s="82" t="inlineStr">
        <is>
          <t>S4–S6</t>
        </is>
      </c>
      <c r="C145" s="82" t="inlineStr">
        <is>
          <t>S5</t>
        </is>
      </c>
      <c r="D145" s="87" t="inlineStr">
        <is>
          <t>數學科</t>
        </is>
      </c>
      <c r="E145" s="88" t="inlineStr">
        <is>
          <t>AI 與數碼素養</t>
        </is>
      </c>
      <c r="F145" s="88" t="inlineStr">
        <is>
          <t>解題初探與建模構思階段嚴格離線；驗證階段運用 Python/GeoGebra 進行大數據驗算，核查 AI 幻覺</t>
        </is>
      </c>
      <c r="G145" s="88" t="inlineStr">
        <is>
          <t>離線構思草稿、GeoGebra/Python 驗算代碼、AI 幻覺核實單</t>
        </is>
      </c>
      <c r="H145" s="89" t="inlineStr">
        <is>
          <t>未檢視</t>
        </is>
      </c>
      <c r="I145" s="90">
        <f>IF(H145="未出現",0,IF(H145="部分出現",1,IF(H145="穩定出現",2,"")))</f>
        <v/>
      </c>
      <c r="J145" s="87" t="n"/>
      <c r="K145" s="88" t="n"/>
      <c r="L145" s="48" t="n"/>
      <c r="M145" s="48" t="n"/>
      <c r="N145" s="48" t="n"/>
      <c r="O145" s="92" t="n"/>
    </row>
    <row r="146" ht="42" customHeight="1">
      <c r="A146" s="82" t="n">
        <v>141</v>
      </c>
      <c r="B146" s="82" t="inlineStr">
        <is>
          <t>S4–S6</t>
        </is>
      </c>
      <c r="C146" s="82" t="inlineStr">
        <is>
          <t>S6</t>
        </is>
      </c>
      <c r="D146" s="87" t="inlineStr">
        <is>
          <t>數學科</t>
        </is>
      </c>
      <c r="E146" s="88" t="inlineStr">
        <is>
          <t>跨學科閱讀</t>
        </is>
      </c>
      <c r="F146" s="88" t="inlineStr">
        <is>
          <t>研讀統計調查、微積分優化與機率決策文本，精確理解圖表極限、邊界條件與複雜數據語意</t>
        </is>
      </c>
      <c r="G146" s="88" t="inlineStr">
        <is>
          <t>數學建模競賽題解報告、數據擬合文本解讀紀錄</t>
        </is>
      </c>
      <c r="H146" s="89" t="inlineStr">
        <is>
          <t>未檢視</t>
        </is>
      </c>
      <c r="I146" s="90">
        <f>IF(H146="未出現",0,IF(H146="部分出現",1,IF(H146="穩定出現",2,"")))</f>
        <v/>
      </c>
      <c r="J146" s="87" t="n"/>
      <c r="K146" s="88" t="n"/>
      <c r="L146" s="48" t="n"/>
      <c r="M146" s="48" t="n"/>
      <c r="N146" s="48" t="n"/>
      <c r="O146" s="92" t="n"/>
    </row>
    <row r="147" ht="42" customHeight="1">
      <c r="A147" s="82" t="n">
        <v>142</v>
      </c>
      <c r="B147" s="82" t="inlineStr">
        <is>
          <t>S4–S6</t>
        </is>
      </c>
      <c r="C147" s="82" t="inlineStr">
        <is>
          <t>S6</t>
        </is>
      </c>
      <c r="D147" s="87" t="inlineStr">
        <is>
          <t>數學科</t>
        </is>
      </c>
      <c r="E147" s="88" t="inlineStr">
        <is>
          <t>證據推理</t>
        </is>
      </c>
      <c r="F147" s="88" t="inlineStr">
        <is>
          <t>開展隨機現象與統計推斷之嚴謹推理，檢驗顯著性，批判性評估模型假設前提是否合理</t>
        </is>
      </c>
      <c r="G147" s="88" t="inlineStr">
        <is>
          <t>統計假設檢定報告、誤差區間分析與模型反思</t>
        </is>
      </c>
      <c r="H147" s="89" t="inlineStr">
        <is>
          <t>未檢視</t>
        </is>
      </c>
      <c r="I147" s="90">
        <f>IF(H147="未出現",0,IF(H147="部分出現",1,IF(H147="穩定出現",2,"")))</f>
        <v/>
      </c>
      <c r="J147" s="87" t="n"/>
      <c r="K147" s="88" t="n"/>
      <c r="L147" s="48" t="n"/>
      <c r="M147" s="48" t="n"/>
      <c r="N147" s="48" t="n"/>
      <c r="O147" s="92" t="n"/>
    </row>
    <row r="148" ht="42" customHeight="1">
      <c r="A148" s="82" t="n">
        <v>143</v>
      </c>
      <c r="B148" s="82" t="inlineStr">
        <is>
          <t>S4–S6</t>
        </is>
      </c>
      <c r="C148" s="82" t="inlineStr">
        <is>
          <t>S6</t>
        </is>
      </c>
      <c r="D148" s="87" t="inlineStr">
        <is>
          <t>數學科</t>
        </is>
      </c>
      <c r="E148" s="88" t="inlineStr">
        <is>
          <t>解難與建模</t>
        </is>
      </c>
      <c r="F148" s="88" t="inlineStr">
        <is>
          <t>面對高階開放性現實問題（動態預測、資源配置），設計多套模型並開展靈敏度分析與反覆迭代</t>
        </is>
      </c>
      <c r="G148" s="88" t="inlineStr">
        <is>
          <t>校本數學建模專案報告、模型靈敏度測試圖表</t>
        </is>
      </c>
      <c r="H148" s="89" t="inlineStr">
        <is>
          <t>未檢視</t>
        </is>
      </c>
      <c r="I148" s="90">
        <f>IF(H148="未出現",0,IF(H148="部分出現",1,IF(H148="穩定出現",2,"")))</f>
        <v/>
      </c>
      <c r="J148" s="87" t="n"/>
      <c r="K148" s="88" t="n"/>
      <c r="L148" s="48" t="n"/>
      <c r="M148" s="48" t="n"/>
      <c r="N148" s="48" t="n"/>
      <c r="O148" s="92" t="n"/>
    </row>
    <row r="149" ht="42" customHeight="1">
      <c r="A149" s="82" t="n">
        <v>144</v>
      </c>
      <c r="B149" s="82" t="inlineStr">
        <is>
          <t>S4–S6</t>
        </is>
      </c>
      <c r="C149" s="82" t="inlineStr">
        <is>
          <t>S6</t>
        </is>
      </c>
      <c r="D149" s="87" t="inlineStr">
        <is>
          <t>數學科</t>
        </is>
      </c>
      <c r="E149" s="88" t="inlineStr">
        <is>
          <t>AI 與數碼素養</t>
        </is>
      </c>
      <c r="F149" s="88" t="inlineStr">
        <is>
          <t>解題初探與建模構思階段嚴格離線；驗證階段運用 Python/GeoGebra 進行大數據驗算，核查 AI 幻覺</t>
        </is>
      </c>
      <c r="G149" s="88" t="inlineStr">
        <is>
          <t>離線構思草稿、GeoGebra/Python 驗算代碼、AI 幻覺核實單</t>
        </is>
      </c>
      <c r="H149" s="89" t="inlineStr">
        <is>
          <t>未檢視</t>
        </is>
      </c>
      <c r="I149" s="90">
        <f>IF(H149="未出現",0,IF(H149="部分出現",1,IF(H149="穩定出現",2,"")))</f>
        <v/>
      </c>
      <c r="J149" s="87" t="n"/>
      <c r="K149" s="88" t="n"/>
      <c r="L149" s="48" t="n"/>
      <c r="M149" s="48" t="n"/>
      <c r="N149" s="48" t="n"/>
      <c r="O149" s="92" t="n"/>
    </row>
    <row r="150" ht="42" customHeight="1">
      <c r="A150" s="82" t="n">
        <v>145</v>
      </c>
      <c r="B150" s="82" t="inlineStr">
        <is>
          <t>P1–P3</t>
        </is>
      </c>
      <c r="C150" s="82" t="inlineStr">
        <is>
          <t>P1</t>
        </is>
      </c>
      <c r="D150" s="87" t="inlineStr">
        <is>
          <t>科學科</t>
        </is>
      </c>
      <c r="E150" s="88" t="inlineStr">
        <is>
          <t>跨學科閱讀</t>
        </is>
      </c>
      <c r="F150" s="88" t="inlineStr">
        <is>
          <t>閱讀動植物與自然現象圖文手冊、實驗安全標誌，結合實物觀察記錄關鍵特徵與變化</t>
        </is>
      </c>
      <c r="G150" s="88" t="inlineStr">
        <is>
          <t>自然觀察圖文手冊、實驗安全圖示理解單</t>
        </is>
      </c>
      <c r="H150" s="89" t="inlineStr">
        <is>
          <t>未檢視</t>
        </is>
      </c>
      <c r="I150" s="90">
        <f>IF(H150="未出現",0,IF(H150="部分出現",1,IF(H150="穩定出現",2,"")))</f>
        <v/>
      </c>
      <c r="J150" s="87" t="n"/>
      <c r="K150" s="88" t="n"/>
      <c r="L150" s="48" t="n"/>
      <c r="M150" s="48" t="n"/>
      <c r="N150" s="48" t="n"/>
      <c r="O150" s="92" t="n"/>
    </row>
    <row r="151" ht="42" customHeight="1">
      <c r="A151" s="82" t="n">
        <v>146</v>
      </c>
      <c r="B151" s="82" t="inlineStr">
        <is>
          <t>P1–P3</t>
        </is>
      </c>
      <c r="C151" s="82" t="inlineStr">
        <is>
          <t>P1</t>
        </is>
      </c>
      <c r="D151" s="87" t="inlineStr">
        <is>
          <t>科學科</t>
        </is>
      </c>
      <c r="E151" s="88" t="inlineStr">
        <is>
          <t>證據推理</t>
        </is>
      </c>
      <c r="F151" s="88" t="inlineStr">
        <is>
          <t>以實測觀察或簡單測量數據為憑據回答科學問題，清楚區分「我看見的」與「我想像的」</t>
        </is>
      </c>
      <c r="G151" s="88" t="inlineStr">
        <is>
          <t>實測數據記錄單、現象觀察與推測對照卡</t>
        </is>
      </c>
      <c r="H151" s="89" t="inlineStr">
        <is>
          <t>未檢視</t>
        </is>
      </c>
      <c r="I151" s="90">
        <f>IF(H151="未出現",0,IF(H151="部分出現",1,IF(H151="穩定出現",2,"")))</f>
        <v/>
      </c>
      <c r="J151" s="87" t="n"/>
      <c r="K151" s="88" t="n"/>
      <c r="L151" s="48" t="n"/>
      <c r="M151" s="48" t="n"/>
      <c r="N151" s="48" t="n"/>
      <c r="O151" s="92" t="n"/>
    </row>
    <row r="152" ht="42" customHeight="1">
      <c r="A152" s="82" t="n">
        <v>147</v>
      </c>
      <c r="B152" s="82" t="inlineStr">
        <is>
          <t>P1–P3</t>
        </is>
      </c>
      <c r="C152" s="82" t="inlineStr">
        <is>
          <t>P1</t>
        </is>
      </c>
      <c r="D152" s="87" t="inlineStr">
        <is>
          <t>科學科</t>
        </is>
      </c>
      <c r="E152" s="88" t="inlineStr">
        <is>
          <t>解難與建模</t>
        </is>
      </c>
      <c r="F152" s="88" t="inlineStr">
        <is>
          <t>針對生活科學問題（如植物向光、保暖防潮）設計簡單探究步驟，依據失敗經驗調整操作</t>
        </is>
      </c>
      <c r="G152" s="88" t="inlineStr">
        <is>
          <t>簡單探究設計單、實驗改進對比記錄</t>
        </is>
      </c>
      <c r="H152" s="89" t="inlineStr">
        <is>
          <t>未檢視</t>
        </is>
      </c>
      <c r="I152" s="90">
        <f>IF(H152="未出現",0,IF(H152="部分出現",1,IF(H152="穩定出現",2,"")))</f>
        <v/>
      </c>
      <c r="J152" s="87" t="n"/>
      <c r="K152" s="88" t="n"/>
      <c r="L152" s="48" t="n"/>
      <c r="M152" s="48" t="n"/>
      <c r="N152" s="48" t="n"/>
      <c r="O152" s="92" t="n"/>
    </row>
    <row r="153" ht="42" customHeight="1">
      <c r="A153" s="82" t="n">
        <v>148</v>
      </c>
      <c r="B153" s="82" t="inlineStr">
        <is>
          <t>P1–P3</t>
        </is>
      </c>
      <c r="C153" s="82" t="inlineStr">
        <is>
          <t>P1</t>
        </is>
      </c>
      <c r="D153" s="87" t="inlineStr">
        <is>
          <t>科學科</t>
        </is>
      </c>
      <c r="E153" s="88" t="inlineStr">
        <is>
          <t>AI 與數碼素養</t>
        </is>
      </c>
      <c r="F153" s="88" t="inlineStr">
        <is>
          <t>動手實驗操作全程為「完全無裝置區」；僅在課後由教師統一展示數位模擬動畫</t>
        </is>
      </c>
      <c r="G153" s="88" t="inlineStr">
        <is>
          <t>無裝置實驗課堂記錄、課堂專注觀察表</t>
        </is>
      </c>
      <c r="H153" s="89" t="inlineStr">
        <is>
          <t>未檢視</t>
        </is>
      </c>
      <c r="I153" s="90">
        <f>IF(H153="未出現",0,IF(H153="部分出現",1,IF(H153="穩定出現",2,"")))</f>
        <v/>
      </c>
      <c r="J153" s="87" t="n"/>
      <c r="K153" s="88" t="n"/>
      <c r="L153" s="48" t="n"/>
      <c r="M153" s="48" t="n"/>
      <c r="N153" s="48" t="n"/>
      <c r="O153" s="92" t="n"/>
    </row>
    <row r="154" ht="42" customHeight="1">
      <c r="A154" s="82" t="n">
        <v>149</v>
      </c>
      <c r="B154" s="82" t="inlineStr">
        <is>
          <t>P1–P3</t>
        </is>
      </c>
      <c r="C154" s="82" t="inlineStr">
        <is>
          <t>P2</t>
        </is>
      </c>
      <c r="D154" s="87" t="inlineStr">
        <is>
          <t>科學科</t>
        </is>
      </c>
      <c r="E154" s="88" t="inlineStr">
        <is>
          <t>跨學科閱讀</t>
        </is>
      </c>
      <c r="F154" s="88" t="inlineStr">
        <is>
          <t>閱讀動植物與自然現象圖文手冊、實驗安全標誌，結合實物觀察記錄關鍵特徵與變化</t>
        </is>
      </c>
      <c r="G154" s="88" t="inlineStr">
        <is>
          <t>自然觀察圖文手冊、實驗安全圖示理解單</t>
        </is>
      </c>
      <c r="H154" s="89" t="inlineStr">
        <is>
          <t>未檢視</t>
        </is>
      </c>
      <c r="I154" s="90">
        <f>IF(H154="未出現",0,IF(H154="部分出現",1,IF(H154="穩定出現",2,"")))</f>
        <v/>
      </c>
      <c r="J154" s="87" t="n"/>
      <c r="K154" s="88" t="n"/>
      <c r="L154" s="48" t="n"/>
      <c r="M154" s="48" t="n"/>
      <c r="N154" s="48" t="n"/>
      <c r="O154" s="92" t="n"/>
    </row>
    <row r="155" ht="42" customHeight="1">
      <c r="A155" s="82" t="n">
        <v>150</v>
      </c>
      <c r="B155" s="82" t="inlineStr">
        <is>
          <t>P1–P3</t>
        </is>
      </c>
      <c r="C155" s="82" t="inlineStr">
        <is>
          <t>P2</t>
        </is>
      </c>
      <c r="D155" s="87" t="inlineStr">
        <is>
          <t>科學科</t>
        </is>
      </c>
      <c r="E155" s="88" t="inlineStr">
        <is>
          <t>證據推理</t>
        </is>
      </c>
      <c r="F155" s="88" t="inlineStr">
        <is>
          <t>以實測觀察或簡單測量數據為憑據回答科學問題，清楚區分「我看見的」與「我想像的」</t>
        </is>
      </c>
      <c r="G155" s="88" t="inlineStr">
        <is>
          <t>實測數據記錄單、現象觀察與推測對照卡</t>
        </is>
      </c>
      <c r="H155" s="89" t="inlineStr">
        <is>
          <t>未檢視</t>
        </is>
      </c>
      <c r="I155" s="90">
        <f>IF(H155="未出現",0,IF(H155="部分出現",1,IF(H155="穩定出現",2,"")))</f>
        <v/>
      </c>
      <c r="J155" s="87" t="n"/>
      <c r="K155" s="88" t="n"/>
      <c r="L155" s="48" t="n"/>
      <c r="M155" s="48" t="n"/>
      <c r="N155" s="48" t="n"/>
      <c r="O155" s="92" t="n"/>
    </row>
    <row r="156" ht="42" customHeight="1">
      <c r="A156" s="82" t="n">
        <v>151</v>
      </c>
      <c r="B156" s="82" t="inlineStr">
        <is>
          <t>P1–P3</t>
        </is>
      </c>
      <c r="C156" s="82" t="inlineStr">
        <is>
          <t>P2</t>
        </is>
      </c>
      <c r="D156" s="87" t="inlineStr">
        <is>
          <t>科學科</t>
        </is>
      </c>
      <c r="E156" s="88" t="inlineStr">
        <is>
          <t>解難與建模</t>
        </is>
      </c>
      <c r="F156" s="88" t="inlineStr">
        <is>
          <t>針對生活科學問題（如植物向光、保暖防潮）設計簡單探究步驟，依據失敗經驗調整操作</t>
        </is>
      </c>
      <c r="G156" s="88" t="inlineStr">
        <is>
          <t>簡單探究設計單、實驗改進對比記錄</t>
        </is>
      </c>
      <c r="H156" s="89" t="inlineStr">
        <is>
          <t>未檢視</t>
        </is>
      </c>
      <c r="I156" s="90">
        <f>IF(H156="未出現",0,IF(H156="部分出現",1,IF(H156="穩定出現",2,"")))</f>
        <v/>
      </c>
      <c r="J156" s="87" t="n"/>
      <c r="K156" s="88" t="n"/>
      <c r="L156" s="48" t="n"/>
      <c r="M156" s="48" t="n"/>
      <c r="N156" s="48" t="n"/>
      <c r="O156" s="92" t="n"/>
    </row>
    <row r="157" ht="42" customHeight="1">
      <c r="A157" s="82" t="n">
        <v>152</v>
      </c>
      <c r="B157" s="82" t="inlineStr">
        <is>
          <t>P1–P3</t>
        </is>
      </c>
      <c r="C157" s="82" t="inlineStr">
        <is>
          <t>P2</t>
        </is>
      </c>
      <c r="D157" s="87" t="inlineStr">
        <is>
          <t>科學科</t>
        </is>
      </c>
      <c r="E157" s="88" t="inlineStr">
        <is>
          <t>AI 與數碼素養</t>
        </is>
      </c>
      <c r="F157" s="88" t="inlineStr">
        <is>
          <t>動手實驗操作全程為「完全無裝置區」；僅在課後由教師統一展示數位模擬動畫</t>
        </is>
      </c>
      <c r="G157" s="88" t="inlineStr">
        <is>
          <t>無裝置實驗課堂記錄、課堂專注觀察表</t>
        </is>
      </c>
      <c r="H157" s="89" t="inlineStr">
        <is>
          <t>未檢視</t>
        </is>
      </c>
      <c r="I157" s="90">
        <f>IF(H157="未出現",0,IF(H157="部分出現",1,IF(H157="穩定出現",2,"")))</f>
        <v/>
      </c>
      <c r="J157" s="87" t="n"/>
      <c r="K157" s="88" t="n"/>
      <c r="L157" s="48" t="n"/>
      <c r="M157" s="48" t="n"/>
      <c r="N157" s="48" t="n"/>
      <c r="O157" s="92" t="n"/>
    </row>
    <row r="158" ht="42" customHeight="1">
      <c r="A158" s="82" t="n">
        <v>153</v>
      </c>
      <c r="B158" s="82" t="inlineStr">
        <is>
          <t>P1–P3</t>
        </is>
      </c>
      <c r="C158" s="82" t="inlineStr">
        <is>
          <t>P3</t>
        </is>
      </c>
      <c r="D158" s="87" t="inlineStr">
        <is>
          <t>科學科</t>
        </is>
      </c>
      <c r="E158" s="88" t="inlineStr">
        <is>
          <t>跨學科閱讀</t>
        </is>
      </c>
      <c r="F158" s="88" t="inlineStr">
        <is>
          <t>閱讀動植物與自然現象圖文手冊、實驗安全標誌，結合實物觀察記錄關鍵特徵與變化</t>
        </is>
      </c>
      <c r="G158" s="88" t="inlineStr">
        <is>
          <t>自然觀察圖文手冊、實驗安全圖示理解單</t>
        </is>
      </c>
      <c r="H158" s="89" t="inlineStr">
        <is>
          <t>未檢視</t>
        </is>
      </c>
      <c r="I158" s="90">
        <f>IF(H158="未出現",0,IF(H158="部分出現",1,IF(H158="穩定出現",2,"")))</f>
        <v/>
      </c>
      <c r="J158" s="87" t="n"/>
      <c r="K158" s="88" t="n"/>
      <c r="L158" s="48" t="n"/>
      <c r="M158" s="48" t="n"/>
      <c r="N158" s="48" t="n"/>
      <c r="O158" s="92" t="n"/>
    </row>
    <row r="159" ht="42" customHeight="1">
      <c r="A159" s="82" t="n">
        <v>154</v>
      </c>
      <c r="B159" s="82" t="inlineStr">
        <is>
          <t>P1–P3</t>
        </is>
      </c>
      <c r="C159" s="82" t="inlineStr">
        <is>
          <t>P3</t>
        </is>
      </c>
      <c r="D159" s="87" t="inlineStr">
        <is>
          <t>科學科</t>
        </is>
      </c>
      <c r="E159" s="88" t="inlineStr">
        <is>
          <t>證據推理</t>
        </is>
      </c>
      <c r="F159" s="88" t="inlineStr">
        <is>
          <t>以實測觀察或簡單測量數據為憑據回答科學問題，清楚區分「我看見的」與「我想像的」</t>
        </is>
      </c>
      <c r="G159" s="88" t="inlineStr">
        <is>
          <t>實測數據記錄單、現象觀察與推測對照卡</t>
        </is>
      </c>
      <c r="H159" s="89" t="inlineStr">
        <is>
          <t>未檢視</t>
        </is>
      </c>
      <c r="I159" s="90">
        <f>IF(H159="未出現",0,IF(H159="部分出現",1,IF(H159="穩定出現",2,"")))</f>
        <v/>
      </c>
      <c r="J159" s="87" t="n"/>
      <c r="K159" s="88" t="n"/>
      <c r="L159" s="48" t="n"/>
      <c r="M159" s="48" t="n"/>
      <c r="N159" s="48" t="n"/>
      <c r="O159" s="92" t="n"/>
    </row>
    <row r="160" ht="42" customHeight="1">
      <c r="A160" s="82" t="n">
        <v>155</v>
      </c>
      <c r="B160" s="82" t="inlineStr">
        <is>
          <t>P1–P3</t>
        </is>
      </c>
      <c r="C160" s="82" t="inlineStr">
        <is>
          <t>P3</t>
        </is>
      </c>
      <c r="D160" s="87" t="inlineStr">
        <is>
          <t>科學科</t>
        </is>
      </c>
      <c r="E160" s="88" t="inlineStr">
        <is>
          <t>解難與建模</t>
        </is>
      </c>
      <c r="F160" s="88" t="inlineStr">
        <is>
          <t>針對生活科學問題（如植物向光、保暖防潮）設計簡單探究步驟，依據失敗經驗調整操作</t>
        </is>
      </c>
      <c r="G160" s="88" t="inlineStr">
        <is>
          <t>簡單探究設計單、實驗改進對比記錄</t>
        </is>
      </c>
      <c r="H160" s="89" t="inlineStr">
        <is>
          <t>未檢視</t>
        </is>
      </c>
      <c r="I160" s="90">
        <f>IF(H160="未出現",0,IF(H160="部分出現",1,IF(H160="穩定出現",2,"")))</f>
        <v/>
      </c>
      <c r="J160" s="87" t="n"/>
      <c r="K160" s="88" t="n"/>
      <c r="L160" s="48" t="n"/>
      <c r="M160" s="48" t="n"/>
      <c r="N160" s="48" t="n"/>
      <c r="O160" s="92" t="n"/>
    </row>
    <row r="161" ht="42" customHeight="1">
      <c r="A161" s="82" t="n">
        <v>156</v>
      </c>
      <c r="B161" s="82" t="inlineStr">
        <is>
          <t>P1–P3</t>
        </is>
      </c>
      <c r="C161" s="82" t="inlineStr">
        <is>
          <t>P3</t>
        </is>
      </c>
      <c r="D161" s="87" t="inlineStr">
        <is>
          <t>科學科</t>
        </is>
      </c>
      <c r="E161" s="88" t="inlineStr">
        <is>
          <t>AI 與數碼素養</t>
        </is>
      </c>
      <c r="F161" s="88" t="inlineStr">
        <is>
          <t>動手實驗操作全程為「完全無裝置區」；僅在課後由教師統一展示數位模擬動畫</t>
        </is>
      </c>
      <c r="G161" s="88" t="inlineStr">
        <is>
          <t>無裝置實驗課堂記錄、課堂專注觀察表</t>
        </is>
      </c>
      <c r="H161" s="89" t="inlineStr">
        <is>
          <t>未檢視</t>
        </is>
      </c>
      <c r="I161" s="90">
        <f>IF(H161="未出現",0,IF(H161="部分出現",1,IF(H161="穩定出現",2,"")))</f>
        <v/>
      </c>
      <c r="J161" s="87" t="n"/>
      <c r="K161" s="88" t="n"/>
      <c r="L161" s="48" t="n"/>
      <c r="M161" s="48" t="n"/>
      <c r="N161" s="48" t="n"/>
      <c r="O161" s="92" t="n"/>
    </row>
    <row r="162" ht="42" customHeight="1">
      <c r="A162" s="82" t="n">
        <v>157</v>
      </c>
      <c r="B162" s="82" t="inlineStr">
        <is>
          <t>P4–P6</t>
        </is>
      </c>
      <c r="C162" s="82" t="inlineStr">
        <is>
          <t>P4</t>
        </is>
      </c>
      <c r="D162" s="87" t="inlineStr">
        <is>
          <t>科學科</t>
        </is>
      </c>
      <c r="E162" s="88" t="inlineStr">
        <is>
          <t>跨學科閱讀</t>
        </is>
      </c>
      <c r="F162" s="88" t="inlineStr">
        <is>
          <t>閱讀對比實驗設計圖、數據記錄表與科普短文，準確提取自變量、因變量與控制變量文字說明</t>
        </is>
      </c>
      <c r="G162" s="88" t="inlineStr">
        <is>
          <t>實驗變量提取工作紙、對比實驗閱讀摘要筆記</t>
        </is>
      </c>
      <c r="H162" s="89" t="inlineStr">
        <is>
          <t>未檢視</t>
        </is>
      </c>
      <c r="I162" s="90">
        <f>IF(H162="未出現",0,IF(H162="部分出現",1,IF(H162="穩定出現",2,"")))</f>
        <v/>
      </c>
      <c r="J162" s="87" t="n"/>
      <c r="K162" s="88" t="n"/>
      <c r="L162" s="48" t="n"/>
      <c r="M162" s="48" t="n"/>
      <c r="N162" s="48" t="n"/>
      <c r="O162" s="92" t="n"/>
    </row>
    <row r="163" ht="42" customHeight="1">
      <c r="A163" s="82" t="n">
        <v>158</v>
      </c>
      <c r="B163" s="82" t="inlineStr">
        <is>
          <t>P4–P6</t>
        </is>
      </c>
      <c r="C163" s="82" t="inlineStr">
        <is>
          <t>P4</t>
        </is>
      </c>
      <c r="D163" s="87" t="inlineStr">
        <is>
          <t>科學科</t>
        </is>
      </c>
      <c r="E163" s="88" t="inlineStr">
        <is>
          <t>證據推理</t>
        </is>
      </c>
      <c r="F163" s="88" t="inlineStr">
        <is>
          <t>運用 CER（主張-證據-推理）架構撰寫科學解釋，以重複實驗數據支持結論，指出測量限制</t>
        </is>
      </c>
      <c r="G163" s="88" t="inlineStr">
        <is>
          <t>CER 科學探究報告、重複實驗誤差分析筆記</t>
        </is>
      </c>
      <c r="H163" s="89" t="inlineStr">
        <is>
          <t>未檢視</t>
        </is>
      </c>
      <c r="I163" s="90">
        <f>IF(H163="未出現",0,IF(H163="部分出現",1,IF(H163="穩定出現",2,"")))</f>
        <v/>
      </c>
      <c r="J163" s="87" t="n"/>
      <c r="K163" s="88" t="n"/>
      <c r="L163" s="48" t="n"/>
      <c r="M163" s="48" t="n"/>
      <c r="N163" s="48" t="n"/>
      <c r="O163" s="92" t="n"/>
    </row>
    <row r="164" ht="42" customHeight="1">
      <c r="A164" s="82" t="n">
        <v>159</v>
      </c>
      <c r="B164" s="82" t="inlineStr">
        <is>
          <t>P4–P6</t>
        </is>
      </c>
      <c r="C164" s="82" t="inlineStr">
        <is>
          <t>P4</t>
        </is>
      </c>
      <c r="D164" s="87" t="inlineStr">
        <is>
          <t>科學科</t>
        </is>
      </c>
      <c r="E164" s="88" t="inlineStr">
        <is>
          <t>解難與建模</t>
        </is>
      </c>
      <c r="F164" s="88" t="inlineStr">
        <is>
          <t>設計控制變量實驗檢驗假說，繪製科學概念模型圖，根據實驗數據偏離修正實驗裝置</t>
        </is>
      </c>
      <c r="G164" s="88" t="inlineStr">
        <is>
          <t>控制變量實驗方案設計書、科學概念模型圖</t>
        </is>
      </c>
      <c r="H164" s="89" t="inlineStr">
        <is>
          <t>未檢視</t>
        </is>
      </c>
      <c r="I164" s="90">
        <f>IF(H164="未出現",0,IF(H164="部分出現",1,IF(H164="穩定出現",2,"")))</f>
        <v/>
      </c>
      <c r="J164" s="87" t="n"/>
      <c r="K164" s="88" t="n"/>
      <c r="L164" s="48" t="n"/>
      <c r="M164" s="48" t="n"/>
      <c r="N164" s="48" t="n"/>
      <c r="O164" s="92" t="n"/>
    </row>
    <row r="165" ht="42" customHeight="1">
      <c r="A165" s="82" t="n">
        <v>160</v>
      </c>
      <c r="B165" s="82" t="inlineStr">
        <is>
          <t>P4–P6</t>
        </is>
      </c>
      <c r="C165" s="82" t="inlineStr">
        <is>
          <t>P4</t>
        </is>
      </c>
      <c r="D165" s="87" t="inlineStr">
        <is>
          <t>科學科</t>
        </is>
      </c>
      <c r="E165" s="88" t="inlineStr">
        <is>
          <t>AI 與數碼素養</t>
        </is>
      </c>
      <c r="F165" s="88" t="inlineStr">
        <is>
          <t>實驗台嚴格執行「完全無裝置區」；數據採集後僅限在離線試算表整理圖表，防範分心</t>
        </is>
      </c>
      <c r="G165" s="88" t="inlineStr">
        <is>
          <t>手寫原始數據記錄單、離線圖表分析作業</t>
        </is>
      </c>
      <c r="H165" s="89" t="inlineStr">
        <is>
          <t>未檢視</t>
        </is>
      </c>
      <c r="I165" s="90">
        <f>IF(H165="未出現",0,IF(H165="部分出現",1,IF(H165="穩定出現",2,"")))</f>
        <v/>
      </c>
      <c r="J165" s="87" t="n"/>
      <c r="K165" s="88" t="n"/>
      <c r="L165" s="48" t="n"/>
      <c r="M165" s="48" t="n"/>
      <c r="N165" s="48" t="n"/>
      <c r="O165" s="92" t="n"/>
    </row>
    <row r="166" ht="42" customHeight="1">
      <c r="A166" s="82" t="n">
        <v>161</v>
      </c>
      <c r="B166" s="82" t="inlineStr">
        <is>
          <t>P4–P6</t>
        </is>
      </c>
      <c r="C166" s="82" t="inlineStr">
        <is>
          <t>P5</t>
        </is>
      </c>
      <c r="D166" s="87" t="inlineStr">
        <is>
          <t>科學科</t>
        </is>
      </c>
      <c r="E166" s="88" t="inlineStr">
        <is>
          <t>跨學科閱讀</t>
        </is>
      </c>
      <c r="F166" s="88" t="inlineStr">
        <is>
          <t>閱讀對比實驗設計圖、數據記錄表與科普短文，準確提取自變量、因變量與控制變量文字說明</t>
        </is>
      </c>
      <c r="G166" s="88" t="inlineStr">
        <is>
          <t>實驗變量提取工作紙、對比實驗閱讀摘要筆記</t>
        </is>
      </c>
      <c r="H166" s="89" t="inlineStr">
        <is>
          <t>未檢視</t>
        </is>
      </c>
      <c r="I166" s="90">
        <f>IF(H166="未出現",0,IF(H166="部分出現",1,IF(H166="穩定出現",2,"")))</f>
        <v/>
      </c>
      <c r="J166" s="87" t="n"/>
      <c r="K166" s="88" t="n"/>
      <c r="L166" s="48" t="n"/>
      <c r="M166" s="48" t="n"/>
      <c r="N166" s="48" t="n"/>
      <c r="O166" s="92" t="n"/>
    </row>
    <row r="167" ht="42" customHeight="1">
      <c r="A167" s="82" t="n">
        <v>162</v>
      </c>
      <c r="B167" s="82" t="inlineStr">
        <is>
          <t>P4–P6</t>
        </is>
      </c>
      <c r="C167" s="82" t="inlineStr">
        <is>
          <t>P5</t>
        </is>
      </c>
      <c r="D167" s="87" t="inlineStr">
        <is>
          <t>科學科</t>
        </is>
      </c>
      <c r="E167" s="88" t="inlineStr">
        <is>
          <t>證據推理</t>
        </is>
      </c>
      <c r="F167" s="88" t="inlineStr">
        <is>
          <t>運用 CER（主張-證據-推理）架構撰寫科學解釋，以重複實驗數據支持結論，指出測量限制</t>
        </is>
      </c>
      <c r="G167" s="88" t="inlineStr">
        <is>
          <t>CER 科學探究報告、重複實驗誤差分析筆記</t>
        </is>
      </c>
      <c r="H167" s="89" t="inlineStr">
        <is>
          <t>未檢視</t>
        </is>
      </c>
      <c r="I167" s="90">
        <f>IF(H167="未出現",0,IF(H167="部分出現",1,IF(H167="穩定出現",2,"")))</f>
        <v/>
      </c>
      <c r="J167" s="87" t="n"/>
      <c r="K167" s="88" t="n"/>
      <c r="L167" s="48" t="n"/>
      <c r="M167" s="48" t="n"/>
      <c r="N167" s="48" t="n"/>
      <c r="O167" s="92" t="n"/>
    </row>
    <row r="168" ht="42" customHeight="1">
      <c r="A168" s="82" t="n">
        <v>163</v>
      </c>
      <c r="B168" s="82" t="inlineStr">
        <is>
          <t>P4–P6</t>
        </is>
      </c>
      <c r="C168" s="82" t="inlineStr">
        <is>
          <t>P5</t>
        </is>
      </c>
      <c r="D168" s="87" t="inlineStr">
        <is>
          <t>科學科</t>
        </is>
      </c>
      <c r="E168" s="88" t="inlineStr">
        <is>
          <t>解難與建模</t>
        </is>
      </c>
      <c r="F168" s="88" t="inlineStr">
        <is>
          <t>設計控制變量實驗檢驗假說，繪製科學概念模型圖，根據實驗數據偏離修正實驗裝置</t>
        </is>
      </c>
      <c r="G168" s="88" t="inlineStr">
        <is>
          <t>控制變量實驗方案設計書、科學概念模型圖</t>
        </is>
      </c>
      <c r="H168" s="89" t="inlineStr">
        <is>
          <t>未檢視</t>
        </is>
      </c>
      <c r="I168" s="90">
        <f>IF(H168="未出現",0,IF(H168="部分出現",1,IF(H168="穩定出現",2,"")))</f>
        <v/>
      </c>
      <c r="J168" s="87" t="n"/>
      <c r="K168" s="88" t="n"/>
      <c r="L168" s="48" t="n"/>
      <c r="M168" s="48" t="n"/>
      <c r="N168" s="48" t="n"/>
      <c r="O168" s="92" t="n"/>
    </row>
    <row r="169" ht="42" customHeight="1">
      <c r="A169" s="82" t="n">
        <v>164</v>
      </c>
      <c r="B169" s="82" t="inlineStr">
        <is>
          <t>P4–P6</t>
        </is>
      </c>
      <c r="C169" s="82" t="inlineStr">
        <is>
          <t>P5</t>
        </is>
      </c>
      <c r="D169" s="87" t="inlineStr">
        <is>
          <t>科學科</t>
        </is>
      </c>
      <c r="E169" s="88" t="inlineStr">
        <is>
          <t>AI 與數碼素養</t>
        </is>
      </c>
      <c r="F169" s="88" t="inlineStr">
        <is>
          <t>實驗台嚴格執行「完全無裝置區」；數據採集後僅限在離線試算表整理圖表，防範分心</t>
        </is>
      </c>
      <c r="G169" s="88" t="inlineStr">
        <is>
          <t>手寫原始數據記錄單、離線圖表分析作業</t>
        </is>
      </c>
      <c r="H169" s="89" t="inlineStr">
        <is>
          <t>未檢視</t>
        </is>
      </c>
      <c r="I169" s="90">
        <f>IF(H169="未出現",0,IF(H169="部分出現",1,IF(H169="穩定出現",2,"")))</f>
        <v/>
      </c>
      <c r="J169" s="87" t="n"/>
      <c r="K169" s="88" t="n"/>
      <c r="L169" s="48" t="n"/>
      <c r="M169" s="48" t="n"/>
      <c r="N169" s="48" t="n"/>
      <c r="O169" s="92" t="n"/>
    </row>
    <row r="170" ht="42" customHeight="1">
      <c r="A170" s="82" t="n">
        <v>165</v>
      </c>
      <c r="B170" s="82" t="inlineStr">
        <is>
          <t>P4–P6</t>
        </is>
      </c>
      <c r="C170" s="82" t="inlineStr">
        <is>
          <t>P6</t>
        </is>
      </c>
      <c r="D170" s="87" t="inlineStr">
        <is>
          <t>科學科</t>
        </is>
      </c>
      <c r="E170" s="88" t="inlineStr">
        <is>
          <t>跨學科閱讀</t>
        </is>
      </c>
      <c r="F170" s="88" t="inlineStr">
        <is>
          <t>閱讀對比實驗設計圖、數據記錄表與科普短文，準確提取自變量、因變量與控制變量文字說明</t>
        </is>
      </c>
      <c r="G170" s="88" t="inlineStr">
        <is>
          <t>實驗變量提取工作紙、對比實驗閱讀摘要筆記</t>
        </is>
      </c>
      <c r="H170" s="89" t="inlineStr">
        <is>
          <t>未檢視</t>
        </is>
      </c>
      <c r="I170" s="90">
        <f>IF(H170="未出現",0,IF(H170="部分出現",1,IF(H170="穩定出現",2,"")))</f>
        <v/>
      </c>
      <c r="J170" s="87" t="n"/>
      <c r="K170" s="88" t="n"/>
      <c r="L170" s="48" t="n"/>
      <c r="M170" s="48" t="n"/>
      <c r="N170" s="48" t="n"/>
      <c r="O170" s="92" t="n"/>
    </row>
    <row r="171" ht="42" customHeight="1">
      <c r="A171" s="82" t="n">
        <v>166</v>
      </c>
      <c r="B171" s="82" t="inlineStr">
        <is>
          <t>P4–P6</t>
        </is>
      </c>
      <c r="C171" s="82" t="inlineStr">
        <is>
          <t>P6</t>
        </is>
      </c>
      <c r="D171" s="87" t="inlineStr">
        <is>
          <t>科學科</t>
        </is>
      </c>
      <c r="E171" s="88" t="inlineStr">
        <is>
          <t>證據推理</t>
        </is>
      </c>
      <c r="F171" s="88" t="inlineStr">
        <is>
          <t>運用 CER（主張-證據-推理）架構撰寫科學解釋，以重複實驗數據支持結論，指出測量限制</t>
        </is>
      </c>
      <c r="G171" s="88" t="inlineStr">
        <is>
          <t>CER 科學探究報告、重複實驗誤差分析筆記</t>
        </is>
      </c>
      <c r="H171" s="89" t="inlineStr">
        <is>
          <t>未檢視</t>
        </is>
      </c>
      <c r="I171" s="90">
        <f>IF(H171="未出現",0,IF(H171="部分出現",1,IF(H171="穩定出現",2,"")))</f>
        <v/>
      </c>
      <c r="J171" s="87" t="n"/>
      <c r="K171" s="88" t="n"/>
      <c r="L171" s="48" t="n"/>
      <c r="M171" s="48" t="n"/>
      <c r="N171" s="48" t="n"/>
      <c r="O171" s="92" t="n"/>
    </row>
    <row r="172" ht="42" customHeight="1">
      <c r="A172" s="82" t="n">
        <v>167</v>
      </c>
      <c r="B172" s="82" t="inlineStr">
        <is>
          <t>P4–P6</t>
        </is>
      </c>
      <c r="C172" s="82" t="inlineStr">
        <is>
          <t>P6</t>
        </is>
      </c>
      <c r="D172" s="87" t="inlineStr">
        <is>
          <t>科學科</t>
        </is>
      </c>
      <c r="E172" s="88" t="inlineStr">
        <is>
          <t>解難與建模</t>
        </is>
      </c>
      <c r="F172" s="88" t="inlineStr">
        <is>
          <t>設計控制變量實驗檢驗假說，繪製科學概念模型圖，根據實驗數據偏離修正實驗裝置</t>
        </is>
      </c>
      <c r="G172" s="88" t="inlineStr">
        <is>
          <t>控制變量實驗方案設計書、科學概念模型圖</t>
        </is>
      </c>
      <c r="H172" s="89" t="inlineStr">
        <is>
          <t>未檢視</t>
        </is>
      </c>
      <c r="I172" s="90">
        <f>IF(H172="未出現",0,IF(H172="部分出現",1,IF(H172="穩定出現",2,"")))</f>
        <v/>
      </c>
      <c r="J172" s="87" t="n"/>
      <c r="K172" s="88" t="n"/>
      <c r="L172" s="48" t="n"/>
      <c r="M172" s="48" t="n"/>
      <c r="N172" s="48" t="n"/>
      <c r="O172" s="92" t="n"/>
    </row>
    <row r="173" ht="42" customHeight="1">
      <c r="A173" s="82" t="n">
        <v>168</v>
      </c>
      <c r="B173" s="82" t="inlineStr">
        <is>
          <t>P4–P6</t>
        </is>
      </c>
      <c r="C173" s="82" t="inlineStr">
        <is>
          <t>P6</t>
        </is>
      </c>
      <c r="D173" s="87" t="inlineStr">
        <is>
          <t>科學科</t>
        </is>
      </c>
      <c r="E173" s="88" t="inlineStr">
        <is>
          <t>AI 與數碼素養</t>
        </is>
      </c>
      <c r="F173" s="88" t="inlineStr">
        <is>
          <t>實驗台嚴格執行「完全無裝置區」；數據採集後僅限在離線試算表整理圖表，防範分心</t>
        </is>
      </c>
      <c r="G173" s="88" t="inlineStr">
        <is>
          <t>手寫原始數據記錄單、離線圖表分析作業</t>
        </is>
      </c>
      <c r="H173" s="89" t="inlineStr">
        <is>
          <t>未檢視</t>
        </is>
      </c>
      <c r="I173" s="90">
        <f>IF(H173="未出現",0,IF(H173="部分出現",1,IF(H173="穩定出現",2,"")))</f>
        <v/>
      </c>
      <c r="J173" s="87" t="n"/>
      <c r="K173" s="88" t="n"/>
      <c r="L173" s="48" t="n"/>
      <c r="M173" s="48" t="n"/>
      <c r="N173" s="48" t="n"/>
      <c r="O173" s="92" t="n"/>
    </row>
    <row r="174" ht="42" customHeight="1">
      <c r="A174" s="82" t="n">
        <v>169</v>
      </c>
      <c r="B174" s="82" t="inlineStr">
        <is>
          <t>S1–S3</t>
        </is>
      </c>
      <c r="C174" s="82" t="inlineStr">
        <is>
          <t>S1</t>
        </is>
      </c>
      <c r="D174" s="87" t="inlineStr">
        <is>
          <t>科學科</t>
        </is>
      </c>
      <c r="E174" s="88" t="inlineStr">
        <is>
          <t>跨學科閱讀</t>
        </is>
      </c>
      <c r="F174" s="88" t="inlineStr">
        <is>
          <t>閱讀科學史對立假說文本與雙座標實驗圖表，準確辨析事實觀察、科學推論與理論假說之分界</t>
        </is>
      </c>
      <c r="G174" s="88" t="inlineStr">
        <is>
          <t>對立假說文本對照分析表、多圖表綜合解讀作業</t>
        </is>
      </c>
      <c r="H174" s="89" t="inlineStr">
        <is>
          <t>未檢視</t>
        </is>
      </c>
      <c r="I174" s="90">
        <f>IF(H174="未出現",0,IF(H174="部分出現",1,IF(H174="穩定出現",2,"")))</f>
        <v/>
      </c>
      <c r="J174" s="87" t="n"/>
      <c r="K174" s="88" t="n"/>
      <c r="L174" s="48" t="n"/>
      <c r="M174" s="48" t="n"/>
      <c r="N174" s="48" t="n"/>
      <c r="O174" s="92" t="n"/>
    </row>
    <row r="175" ht="42" customHeight="1">
      <c r="A175" s="82" t="n">
        <v>170</v>
      </c>
      <c r="B175" s="82" t="inlineStr">
        <is>
          <t>S1–S3</t>
        </is>
      </c>
      <c r="C175" s="82" t="inlineStr">
        <is>
          <t>S1</t>
        </is>
      </c>
      <c r="D175" s="87" t="inlineStr">
        <is>
          <t>科學科</t>
        </is>
      </c>
      <c r="E175" s="88" t="inlineStr">
        <is>
          <t>證據推理</t>
        </is>
      </c>
      <c r="F175" s="88" t="inlineStr">
        <is>
          <t>結合實驗定量數據與物理/化學/生物定律進行邏輯演繹，分析異常值成因，區分相關與因果</t>
        </is>
      </c>
      <c r="G175" s="88" t="inlineStr">
        <is>
          <t>定量實驗推論報告、異常數據分析研討記錄</t>
        </is>
      </c>
      <c r="H175" s="89" t="inlineStr">
        <is>
          <t>未檢視</t>
        </is>
      </c>
      <c r="I175" s="90">
        <f>IF(H175="未出現",0,IF(H175="部分出現",1,IF(H175="穩定出現",2,"")))</f>
        <v/>
      </c>
      <c r="J175" s="87" t="n"/>
      <c r="K175" s="88" t="n"/>
      <c r="L175" s="48" t="n"/>
      <c r="M175" s="48" t="n"/>
      <c r="N175" s="48" t="n"/>
      <c r="O175" s="92" t="n"/>
    </row>
    <row r="176" ht="42" customHeight="1">
      <c r="A176" s="82" t="n">
        <v>171</v>
      </c>
      <c r="B176" s="82" t="inlineStr">
        <is>
          <t>S1–S3</t>
        </is>
      </c>
      <c r="C176" s="82" t="inlineStr">
        <is>
          <t>S1</t>
        </is>
      </c>
      <c r="D176" s="87" t="inlineStr">
        <is>
          <t>科學科</t>
        </is>
      </c>
      <c r="E176" s="88" t="inlineStr">
        <is>
          <t>解難與建模</t>
        </is>
      </c>
      <c r="F176" s="88" t="inlineStr">
        <is>
          <t>建立機制或定量方程式模型模擬科學現象，預測系統行為，依據實測結果校正模型參數</t>
        </is>
      </c>
      <c r="G176" s="88" t="inlineStr">
        <is>
          <t>物理/化學機制模型草圖、模型預測與實測對比表</t>
        </is>
      </c>
      <c r="H176" s="89" t="inlineStr">
        <is>
          <t>未檢視</t>
        </is>
      </c>
      <c r="I176" s="90">
        <f>IF(H176="未出現",0,IF(H176="部分出現",1,IF(H176="穩定出現",2,"")))</f>
        <v/>
      </c>
      <c r="J176" s="87" t="n"/>
      <c r="K176" s="88" t="n"/>
      <c r="L176" s="48" t="n"/>
      <c r="M176" s="48" t="n"/>
      <c r="N176" s="48" t="n"/>
      <c r="O176" s="92" t="n"/>
    </row>
    <row r="177" ht="42" customHeight="1">
      <c r="A177" s="82" t="n">
        <v>172</v>
      </c>
      <c r="B177" s="82" t="inlineStr">
        <is>
          <t>S1–S3</t>
        </is>
      </c>
      <c r="C177" s="82" t="inlineStr">
        <is>
          <t>S1</t>
        </is>
      </c>
      <c r="D177" s="87" t="inlineStr">
        <is>
          <t>科學科</t>
        </is>
      </c>
      <c r="E177" s="88" t="inlineStr">
        <is>
          <t>AI 與數碼素養</t>
        </is>
      </c>
      <c r="F177" s="88" t="inlineStr">
        <is>
          <t>落實 3D 專注（防範-24分代價）；Q-V-R-E-R：Prompt 詢問假說（Q），實測核對 AI（V），修正實驗（R），口頭答辯（R）</t>
        </is>
      </c>
      <c r="G177" s="88" t="inlineStr">
        <is>
          <t>實驗室 3D 專注檢核表、實測數據對照 AI 報告、口試紀錄</t>
        </is>
      </c>
      <c r="H177" s="89" t="inlineStr">
        <is>
          <t>未檢視</t>
        </is>
      </c>
      <c r="I177" s="90">
        <f>IF(H177="未出現",0,IF(H177="部分出現",1,IF(H177="穩定出現",2,"")))</f>
        <v/>
      </c>
      <c r="J177" s="87" t="n"/>
      <c r="K177" s="88" t="n"/>
      <c r="L177" s="48" t="n"/>
      <c r="M177" s="48" t="n"/>
      <c r="N177" s="48" t="n"/>
      <c r="O177" s="92" t="n"/>
    </row>
    <row r="178" ht="42" customHeight="1">
      <c r="A178" s="82" t="n">
        <v>173</v>
      </c>
      <c r="B178" s="82" t="inlineStr">
        <is>
          <t>S1–S3</t>
        </is>
      </c>
      <c r="C178" s="82" t="inlineStr">
        <is>
          <t>S2</t>
        </is>
      </c>
      <c r="D178" s="87" t="inlineStr">
        <is>
          <t>科學科</t>
        </is>
      </c>
      <c r="E178" s="88" t="inlineStr">
        <is>
          <t>跨學科閱讀</t>
        </is>
      </c>
      <c r="F178" s="88" t="inlineStr">
        <is>
          <t>閱讀科學史對立假說文本與雙座標實驗圖表，準確辨析事實觀察、科學推論與理論假說之分界</t>
        </is>
      </c>
      <c r="G178" s="88" t="inlineStr">
        <is>
          <t>對立假說文本對照分析表、多圖表綜合解讀作業</t>
        </is>
      </c>
      <c r="H178" s="89" t="inlineStr">
        <is>
          <t>未檢視</t>
        </is>
      </c>
      <c r="I178" s="90">
        <f>IF(H178="未出現",0,IF(H178="部分出現",1,IF(H178="穩定出現",2,"")))</f>
        <v/>
      </c>
      <c r="J178" s="87" t="n"/>
      <c r="K178" s="88" t="n"/>
      <c r="L178" s="48" t="n"/>
      <c r="M178" s="48" t="n"/>
      <c r="N178" s="48" t="n"/>
      <c r="O178" s="92" t="n"/>
    </row>
    <row r="179" ht="42" customHeight="1">
      <c r="A179" s="82" t="n">
        <v>174</v>
      </c>
      <c r="B179" s="82" t="inlineStr">
        <is>
          <t>S1–S3</t>
        </is>
      </c>
      <c r="C179" s="82" t="inlineStr">
        <is>
          <t>S2</t>
        </is>
      </c>
      <c r="D179" s="87" t="inlineStr">
        <is>
          <t>科學科</t>
        </is>
      </c>
      <c r="E179" s="88" t="inlineStr">
        <is>
          <t>證據推理</t>
        </is>
      </c>
      <c r="F179" s="88" t="inlineStr">
        <is>
          <t>結合實驗定量數據與物理/化學/生物定律進行邏輯演繹，分析異常值成因，區分相關與因果</t>
        </is>
      </c>
      <c r="G179" s="88" t="inlineStr">
        <is>
          <t>定量實驗推論報告、異常數據分析研討記錄</t>
        </is>
      </c>
      <c r="H179" s="89" t="inlineStr">
        <is>
          <t>未檢視</t>
        </is>
      </c>
      <c r="I179" s="90">
        <f>IF(H179="未出現",0,IF(H179="部分出現",1,IF(H179="穩定出現",2,"")))</f>
        <v/>
      </c>
      <c r="J179" s="87" t="n"/>
      <c r="K179" s="88" t="n"/>
      <c r="L179" s="48" t="n"/>
      <c r="M179" s="48" t="n"/>
      <c r="N179" s="48" t="n"/>
      <c r="O179" s="92" t="n"/>
    </row>
    <row r="180" ht="42" customHeight="1">
      <c r="A180" s="82" t="n">
        <v>175</v>
      </c>
      <c r="B180" s="82" t="inlineStr">
        <is>
          <t>S1–S3</t>
        </is>
      </c>
      <c r="C180" s="82" t="inlineStr">
        <is>
          <t>S2</t>
        </is>
      </c>
      <c r="D180" s="87" t="inlineStr">
        <is>
          <t>科學科</t>
        </is>
      </c>
      <c r="E180" s="88" t="inlineStr">
        <is>
          <t>解難與建模</t>
        </is>
      </c>
      <c r="F180" s="88" t="inlineStr">
        <is>
          <t>建立機制或定量方程式模型模擬科學現象，預測系統行為，依據實測結果校正模型參數</t>
        </is>
      </c>
      <c r="G180" s="88" t="inlineStr">
        <is>
          <t>物理/化學機制模型草圖、模型預測與實測對比表</t>
        </is>
      </c>
      <c r="H180" s="89" t="inlineStr">
        <is>
          <t>未檢視</t>
        </is>
      </c>
      <c r="I180" s="90">
        <f>IF(H180="未出現",0,IF(H180="部分出現",1,IF(H180="穩定出現",2,"")))</f>
        <v/>
      </c>
      <c r="J180" s="87" t="n"/>
      <c r="K180" s="88" t="n"/>
      <c r="L180" s="48" t="n"/>
      <c r="M180" s="48" t="n"/>
      <c r="N180" s="48" t="n"/>
      <c r="O180" s="92" t="n"/>
    </row>
    <row r="181" ht="42" customHeight="1">
      <c r="A181" s="82" t="n">
        <v>176</v>
      </c>
      <c r="B181" s="82" t="inlineStr">
        <is>
          <t>S1–S3</t>
        </is>
      </c>
      <c r="C181" s="82" t="inlineStr">
        <is>
          <t>S2</t>
        </is>
      </c>
      <c r="D181" s="87" t="inlineStr">
        <is>
          <t>科學科</t>
        </is>
      </c>
      <c r="E181" s="88" t="inlineStr">
        <is>
          <t>AI 與數碼素養</t>
        </is>
      </c>
      <c r="F181" s="88" t="inlineStr">
        <is>
          <t>落實 3D 專注（防範-24分代價）；Q-V-R-E-R：Prompt 詢問假說（Q），實測核對 AI（V），修正實驗（R），口頭答辯（R）</t>
        </is>
      </c>
      <c r="G181" s="88" t="inlineStr">
        <is>
          <t>實驗室 3D 專注檢核表、實測數據對照 AI 報告、口試紀錄</t>
        </is>
      </c>
      <c r="H181" s="89" t="inlineStr">
        <is>
          <t>未檢視</t>
        </is>
      </c>
      <c r="I181" s="90">
        <f>IF(H181="未出現",0,IF(H181="部分出現",1,IF(H181="穩定出現",2,"")))</f>
        <v/>
      </c>
      <c r="J181" s="87" t="n"/>
      <c r="K181" s="88" t="n"/>
      <c r="L181" s="48" t="n"/>
      <c r="M181" s="48" t="n"/>
      <c r="N181" s="48" t="n"/>
      <c r="O181" s="92" t="n"/>
    </row>
    <row r="182" ht="42" customHeight="1">
      <c r="A182" s="82" t="n">
        <v>177</v>
      </c>
      <c r="B182" s="82" t="inlineStr">
        <is>
          <t>S1–S3</t>
        </is>
      </c>
      <c r="C182" s="82" t="inlineStr">
        <is>
          <t>S3</t>
        </is>
      </c>
      <c r="D182" s="87" t="inlineStr">
        <is>
          <t>科學科</t>
        </is>
      </c>
      <c r="E182" s="88" t="inlineStr">
        <is>
          <t>跨學科閱讀</t>
        </is>
      </c>
      <c r="F182" s="88" t="inlineStr">
        <is>
          <t>閱讀科學史對立假說文本與雙座標實驗圖表，準確辨析事實觀察、科學推論與理論假說之分界</t>
        </is>
      </c>
      <c r="G182" s="88" t="inlineStr">
        <is>
          <t>對立假說文本對照分析表、多圖表綜合解讀作業</t>
        </is>
      </c>
      <c r="H182" s="89" t="inlineStr">
        <is>
          <t>未檢視</t>
        </is>
      </c>
      <c r="I182" s="90">
        <f>IF(H182="未出現",0,IF(H182="部分出現",1,IF(H182="穩定出現",2,"")))</f>
        <v/>
      </c>
      <c r="J182" s="87" t="n"/>
      <c r="K182" s="88" t="n"/>
      <c r="L182" s="48" t="n"/>
      <c r="M182" s="48" t="n"/>
      <c r="N182" s="48" t="n"/>
      <c r="O182" s="92" t="n"/>
    </row>
    <row r="183" ht="42" customHeight="1">
      <c r="A183" s="82" t="n">
        <v>178</v>
      </c>
      <c r="B183" s="82" t="inlineStr">
        <is>
          <t>S1–S3</t>
        </is>
      </c>
      <c r="C183" s="82" t="inlineStr">
        <is>
          <t>S3</t>
        </is>
      </c>
      <c r="D183" s="87" t="inlineStr">
        <is>
          <t>科學科</t>
        </is>
      </c>
      <c r="E183" s="88" t="inlineStr">
        <is>
          <t>證據推理</t>
        </is>
      </c>
      <c r="F183" s="88" t="inlineStr">
        <is>
          <t>結合實驗定量數據與物理/化學/生物定律進行邏輯演繹，分析異常值成因，區分相關與因果</t>
        </is>
      </c>
      <c r="G183" s="88" t="inlineStr">
        <is>
          <t>定量實驗推論報告、異常數據分析研討記錄</t>
        </is>
      </c>
      <c r="H183" s="89" t="inlineStr">
        <is>
          <t>未檢視</t>
        </is>
      </c>
      <c r="I183" s="90">
        <f>IF(H183="未出現",0,IF(H183="部分出現",1,IF(H183="穩定出現",2,"")))</f>
        <v/>
      </c>
      <c r="J183" s="87" t="n"/>
      <c r="K183" s="88" t="n"/>
      <c r="L183" s="48" t="n"/>
      <c r="M183" s="48" t="n"/>
      <c r="N183" s="48" t="n"/>
      <c r="O183" s="92" t="n"/>
    </row>
    <row r="184" ht="42" customHeight="1">
      <c r="A184" s="82" t="n">
        <v>179</v>
      </c>
      <c r="B184" s="82" t="inlineStr">
        <is>
          <t>S1–S3</t>
        </is>
      </c>
      <c r="C184" s="82" t="inlineStr">
        <is>
          <t>S3</t>
        </is>
      </c>
      <c r="D184" s="87" t="inlineStr">
        <is>
          <t>科學科</t>
        </is>
      </c>
      <c r="E184" s="88" t="inlineStr">
        <is>
          <t>解難與建模</t>
        </is>
      </c>
      <c r="F184" s="88" t="inlineStr">
        <is>
          <t>建立機制或定量方程式模型模擬科學現象，預測系統行為，依據實測結果校正模型參數</t>
        </is>
      </c>
      <c r="G184" s="88" t="inlineStr">
        <is>
          <t>物理/化學機制模型草圖、模型預測與實測對比表</t>
        </is>
      </c>
      <c r="H184" s="89" t="inlineStr">
        <is>
          <t>未檢視</t>
        </is>
      </c>
      <c r="I184" s="90">
        <f>IF(H184="未出現",0,IF(H184="部分出現",1,IF(H184="穩定出現",2,"")))</f>
        <v/>
      </c>
      <c r="J184" s="87" t="n"/>
      <c r="K184" s="88" t="n"/>
      <c r="L184" s="48" t="n"/>
      <c r="M184" s="48" t="n"/>
      <c r="N184" s="48" t="n"/>
      <c r="O184" s="92" t="n"/>
    </row>
    <row r="185" ht="42" customHeight="1">
      <c r="A185" s="82" t="n">
        <v>180</v>
      </c>
      <c r="B185" s="82" t="inlineStr">
        <is>
          <t>S1–S3</t>
        </is>
      </c>
      <c r="C185" s="82" t="inlineStr">
        <is>
          <t>S3</t>
        </is>
      </c>
      <c r="D185" s="87" t="inlineStr">
        <is>
          <t>科學科</t>
        </is>
      </c>
      <c r="E185" s="88" t="inlineStr">
        <is>
          <t>AI 與數碼素養</t>
        </is>
      </c>
      <c r="F185" s="88" t="inlineStr">
        <is>
          <t>落實 3D 專注（防範-24分代價）；Q-V-R-E-R：Prompt 詢問假說（Q），實測核對 AI（V），修正實驗（R），口頭答辯（R）</t>
        </is>
      </c>
      <c r="G185" s="88" t="inlineStr">
        <is>
          <t>實驗室 3D 專注檢核表、實測數據對照 AI 報告、口試紀錄</t>
        </is>
      </c>
      <c r="H185" s="89" t="inlineStr">
        <is>
          <t>未檢視</t>
        </is>
      </c>
      <c r="I185" s="90">
        <f>IF(H185="未出現",0,IF(H185="部分出現",1,IF(H185="穩定出現",2,"")))</f>
        <v/>
      </c>
      <c r="J185" s="87" t="n"/>
      <c r="K185" s="88" t="n"/>
      <c r="L185" s="48" t="n"/>
      <c r="M185" s="48" t="n"/>
      <c r="N185" s="48" t="n"/>
      <c r="O185" s="92" t="n"/>
    </row>
    <row r="186" ht="42" customHeight="1">
      <c r="A186" s="82" t="n">
        <v>181</v>
      </c>
      <c r="B186" s="82" t="inlineStr">
        <is>
          <t>S4–S6</t>
        </is>
      </c>
      <c r="C186" s="82" t="inlineStr">
        <is>
          <t>S4</t>
        </is>
      </c>
      <c r="D186" s="87" t="inlineStr">
        <is>
          <t>科學科</t>
        </is>
      </c>
      <c r="E186" s="88" t="inlineStr">
        <is>
          <t>跨學科閱讀</t>
        </is>
      </c>
      <c r="F186" s="88" t="inlineStr">
        <is>
          <t>研讀國際權威科學報告（PISA/IPCC）、學術期刊摘要與實驗誤差分析，批判性評估實驗設計信效度</t>
        </is>
      </c>
      <c r="G186" s="88" t="inlineStr">
        <is>
          <t>科學期刊論文導讀筆記、實驗設計有效性評審表</t>
        </is>
      </c>
      <c r="H186" s="89" t="inlineStr">
        <is>
          <t>未檢視</t>
        </is>
      </c>
      <c r="I186" s="90">
        <f>IF(H186="未出現",0,IF(H186="部分出現",1,IF(H186="穩定出現",2,"")))</f>
        <v/>
      </c>
      <c r="J186" s="87" t="n"/>
      <c r="K186" s="88" t="n"/>
      <c r="L186" s="48" t="n"/>
      <c r="M186" s="48" t="n"/>
      <c r="N186" s="48" t="n"/>
      <c r="O186" s="92" t="n"/>
    </row>
    <row r="187" ht="42" customHeight="1">
      <c r="A187" s="82" t="n">
        <v>182</v>
      </c>
      <c r="B187" s="82" t="inlineStr">
        <is>
          <t>S4–S6</t>
        </is>
      </c>
      <c r="C187" s="82" t="inlineStr">
        <is>
          <t>S4</t>
        </is>
      </c>
      <c r="D187" s="87" t="inlineStr">
        <is>
          <t>科學科</t>
        </is>
      </c>
      <c r="E187" s="88" t="inlineStr">
        <is>
          <t>證據推理</t>
        </is>
      </c>
      <c r="F187" s="88" t="inlineStr">
        <is>
          <t>處理非線性數據與複雜系統，建構基於經驗證據的嚴謹科學論證，完成誤差傳播與不確定性量化</t>
        </is>
      </c>
      <c r="G187" s="88" t="inlineStr">
        <is>
          <t>不確定度量化分析報告、科學論證答辯評定表</t>
        </is>
      </c>
      <c r="H187" s="89" t="inlineStr">
        <is>
          <t>未檢視</t>
        </is>
      </c>
      <c r="I187" s="90">
        <f>IF(H187="未出現",0,IF(H187="部分出現",1,IF(H187="穩定出現",2,"")))</f>
        <v/>
      </c>
      <c r="J187" s="87" t="n"/>
      <c r="K187" s="88" t="n"/>
      <c r="L187" s="48" t="n"/>
      <c r="M187" s="48" t="n"/>
      <c r="N187" s="48" t="n"/>
      <c r="O187" s="92" t="n"/>
    </row>
    <row r="188" ht="42" customHeight="1">
      <c r="A188" s="82" t="n">
        <v>183</v>
      </c>
      <c r="B188" s="82" t="inlineStr">
        <is>
          <t>S4–S6</t>
        </is>
      </c>
      <c r="C188" s="82" t="inlineStr">
        <is>
          <t>S4</t>
        </is>
      </c>
      <c r="D188" s="87" t="inlineStr">
        <is>
          <t>科學科</t>
        </is>
      </c>
      <c r="E188" s="88" t="inlineStr">
        <is>
          <t>解難與建模</t>
        </is>
      </c>
      <c r="F188" s="88" t="inlineStr">
        <is>
          <t>開展真實跨學科科研專題探究，整合傳感器物聯網與理論模型，評估工程可行性與生態影響</t>
        </is>
      </c>
      <c r="G188" s="88" t="inlineStr">
        <is>
          <t>跨學科科研專題設計書、原型測試與改進迭代誌</t>
        </is>
      </c>
      <c r="H188" s="89" t="inlineStr">
        <is>
          <t>未檢視</t>
        </is>
      </c>
      <c r="I188" s="90">
        <f>IF(H188="未出現",0,IF(H188="部分出現",1,IF(H188="穩定出現",2,"")))</f>
        <v/>
      </c>
      <c r="J188" s="87" t="n"/>
      <c r="K188" s="88" t="n"/>
      <c r="L188" s="48" t="n"/>
      <c r="M188" s="48" t="n"/>
      <c r="N188" s="48" t="n"/>
      <c r="O188" s="92" t="n"/>
    </row>
    <row r="189" ht="42" customHeight="1">
      <c r="A189" s="82" t="n">
        <v>184</v>
      </c>
      <c r="B189" s="82" t="inlineStr">
        <is>
          <t>S4–S6</t>
        </is>
      </c>
      <c r="C189" s="82" t="inlineStr">
        <is>
          <t>S4</t>
        </is>
      </c>
      <c r="D189" s="87" t="inlineStr">
        <is>
          <t>科學科</t>
        </is>
      </c>
      <c r="E189" s="88" t="inlineStr">
        <is>
          <t>AI 與數碼素養</t>
        </is>
      </c>
      <c r="F189" s="88" t="inlineStr">
        <is>
          <t>獨立核實 AI 科學解釋正確性，嚴禁使用 AI 偽造實驗數據；保留原始感測器數據，質詢 AI 幻覺</t>
        </is>
      </c>
      <c r="G189" s="88" t="inlineStr">
        <is>
          <t>原始感測器傳感日誌、AI 解釋質詢與批判報告</t>
        </is>
      </c>
      <c r="H189" s="89" t="inlineStr">
        <is>
          <t>未檢視</t>
        </is>
      </c>
      <c r="I189" s="90">
        <f>IF(H189="未出現",0,IF(H189="部分出現",1,IF(H189="穩定出現",2,"")))</f>
        <v/>
      </c>
      <c r="J189" s="87" t="n"/>
      <c r="K189" s="88" t="n"/>
      <c r="L189" s="48" t="n"/>
      <c r="M189" s="48" t="n"/>
      <c r="N189" s="48" t="n"/>
      <c r="O189" s="92" t="n"/>
    </row>
    <row r="190" ht="42" customHeight="1">
      <c r="A190" s="82" t="n">
        <v>185</v>
      </c>
      <c r="B190" s="82" t="inlineStr">
        <is>
          <t>S4–S6</t>
        </is>
      </c>
      <c r="C190" s="82" t="inlineStr">
        <is>
          <t>S5</t>
        </is>
      </c>
      <c r="D190" s="87" t="inlineStr">
        <is>
          <t>科學科</t>
        </is>
      </c>
      <c r="E190" s="88" t="inlineStr">
        <is>
          <t>跨學科閱讀</t>
        </is>
      </c>
      <c r="F190" s="88" t="inlineStr">
        <is>
          <t>研讀國際權威科學報告（PISA/IPCC）、學術期刊摘要與實驗誤差分析，批判性評估實驗設計信效度</t>
        </is>
      </c>
      <c r="G190" s="88" t="inlineStr">
        <is>
          <t>科學期刊論文導讀筆記、實驗設計有效性評審表</t>
        </is>
      </c>
      <c r="H190" s="89" t="inlineStr">
        <is>
          <t>未檢視</t>
        </is>
      </c>
      <c r="I190" s="90">
        <f>IF(H190="未出現",0,IF(H190="部分出現",1,IF(H190="穩定出現",2,"")))</f>
        <v/>
      </c>
      <c r="J190" s="87" t="n"/>
      <c r="K190" s="88" t="n"/>
      <c r="L190" s="48" t="n"/>
      <c r="M190" s="48" t="n"/>
      <c r="N190" s="48" t="n"/>
      <c r="O190" s="92" t="n"/>
    </row>
    <row r="191" ht="42" customHeight="1">
      <c r="A191" s="82" t="n">
        <v>186</v>
      </c>
      <c r="B191" s="82" t="inlineStr">
        <is>
          <t>S4–S6</t>
        </is>
      </c>
      <c r="C191" s="82" t="inlineStr">
        <is>
          <t>S5</t>
        </is>
      </c>
      <c r="D191" s="87" t="inlineStr">
        <is>
          <t>科學科</t>
        </is>
      </c>
      <c r="E191" s="88" t="inlineStr">
        <is>
          <t>證據推理</t>
        </is>
      </c>
      <c r="F191" s="88" t="inlineStr">
        <is>
          <t>處理非線性數據與複雜系統，建構基於經驗證據的嚴謹科學論證，完成誤差傳播與不確定性量化</t>
        </is>
      </c>
      <c r="G191" s="88" t="inlineStr">
        <is>
          <t>不確定度量化分析報告、科學論證答辯評定表</t>
        </is>
      </c>
      <c r="H191" s="89" t="inlineStr">
        <is>
          <t>未檢視</t>
        </is>
      </c>
      <c r="I191" s="90">
        <f>IF(H191="未出現",0,IF(H191="部分出現",1,IF(H191="穩定出現",2,"")))</f>
        <v/>
      </c>
      <c r="J191" s="87" t="n"/>
      <c r="K191" s="88" t="n"/>
      <c r="L191" s="48" t="n"/>
      <c r="M191" s="48" t="n"/>
      <c r="N191" s="48" t="n"/>
      <c r="O191" s="92" t="n"/>
    </row>
    <row r="192" ht="42" customHeight="1">
      <c r="A192" s="82" t="n">
        <v>187</v>
      </c>
      <c r="B192" s="82" t="inlineStr">
        <is>
          <t>S4–S6</t>
        </is>
      </c>
      <c r="C192" s="82" t="inlineStr">
        <is>
          <t>S5</t>
        </is>
      </c>
      <c r="D192" s="87" t="inlineStr">
        <is>
          <t>科學科</t>
        </is>
      </c>
      <c r="E192" s="88" t="inlineStr">
        <is>
          <t>解難與建模</t>
        </is>
      </c>
      <c r="F192" s="88" t="inlineStr">
        <is>
          <t>開展真實跨學科科研專題探究，整合傳感器物聯網與理論模型，評估工程可行性與生態影響</t>
        </is>
      </c>
      <c r="G192" s="88" t="inlineStr">
        <is>
          <t>跨學科科研專題設計書、原型測試與改進迭代誌</t>
        </is>
      </c>
      <c r="H192" s="89" t="inlineStr">
        <is>
          <t>未檢視</t>
        </is>
      </c>
      <c r="I192" s="90">
        <f>IF(H192="未出現",0,IF(H192="部分出現",1,IF(H192="穩定出現",2,"")))</f>
        <v/>
      </c>
      <c r="J192" s="87" t="n"/>
      <c r="K192" s="88" t="n"/>
      <c r="L192" s="48" t="n"/>
      <c r="M192" s="48" t="n"/>
      <c r="N192" s="48" t="n"/>
      <c r="O192" s="92" t="n"/>
    </row>
    <row r="193" ht="42" customHeight="1">
      <c r="A193" s="82" t="n">
        <v>188</v>
      </c>
      <c r="B193" s="82" t="inlineStr">
        <is>
          <t>S4–S6</t>
        </is>
      </c>
      <c r="C193" s="82" t="inlineStr">
        <is>
          <t>S5</t>
        </is>
      </c>
      <c r="D193" s="87" t="inlineStr">
        <is>
          <t>科學科</t>
        </is>
      </c>
      <c r="E193" s="88" t="inlineStr">
        <is>
          <t>AI 與數碼素養</t>
        </is>
      </c>
      <c r="F193" s="88" t="inlineStr">
        <is>
          <t>獨立核實 AI 科學解釋正確性，嚴禁使用 AI 偽造實驗數據；保留原始感測器數據，質詢 AI 幻覺</t>
        </is>
      </c>
      <c r="G193" s="88" t="inlineStr">
        <is>
          <t>原始感測器傳感日誌、AI 解釋質詢與批判報告</t>
        </is>
      </c>
      <c r="H193" s="89" t="inlineStr">
        <is>
          <t>未檢視</t>
        </is>
      </c>
      <c r="I193" s="90">
        <f>IF(H193="未出現",0,IF(H193="部分出現",1,IF(H193="穩定出現",2,"")))</f>
        <v/>
      </c>
      <c r="J193" s="87" t="n"/>
      <c r="K193" s="88" t="n"/>
      <c r="L193" s="48" t="n"/>
      <c r="M193" s="48" t="n"/>
      <c r="N193" s="48" t="n"/>
      <c r="O193" s="92" t="n"/>
    </row>
    <row r="194" ht="42" customHeight="1">
      <c r="A194" s="82" t="n">
        <v>189</v>
      </c>
      <c r="B194" s="82" t="inlineStr">
        <is>
          <t>S4–S6</t>
        </is>
      </c>
      <c r="C194" s="82" t="inlineStr">
        <is>
          <t>S6</t>
        </is>
      </c>
      <c r="D194" s="87" t="inlineStr">
        <is>
          <t>科學科</t>
        </is>
      </c>
      <c r="E194" s="88" t="inlineStr">
        <is>
          <t>跨學科閱讀</t>
        </is>
      </c>
      <c r="F194" s="88" t="inlineStr">
        <is>
          <t>研讀國際權威科學報告（PISA/IPCC）、學術期刊摘要與實驗誤差分析，批判性評估實驗設計信效度</t>
        </is>
      </c>
      <c r="G194" s="88" t="inlineStr">
        <is>
          <t>科學期刊論文導讀筆記、實驗設計有效性評審表</t>
        </is>
      </c>
      <c r="H194" s="89" t="inlineStr">
        <is>
          <t>未檢視</t>
        </is>
      </c>
      <c r="I194" s="90">
        <f>IF(H194="未出現",0,IF(H194="部分出現",1,IF(H194="穩定出現",2,"")))</f>
        <v/>
      </c>
      <c r="J194" s="87" t="n"/>
      <c r="K194" s="88" t="n"/>
      <c r="L194" s="48" t="n"/>
      <c r="M194" s="48" t="n"/>
      <c r="N194" s="48" t="n"/>
      <c r="O194" s="92" t="n"/>
    </row>
    <row r="195" ht="42" customHeight="1">
      <c r="A195" s="82" t="n">
        <v>190</v>
      </c>
      <c r="B195" s="82" t="inlineStr">
        <is>
          <t>S4–S6</t>
        </is>
      </c>
      <c r="C195" s="82" t="inlineStr">
        <is>
          <t>S6</t>
        </is>
      </c>
      <c r="D195" s="87" t="inlineStr">
        <is>
          <t>科學科</t>
        </is>
      </c>
      <c r="E195" s="88" t="inlineStr">
        <is>
          <t>證據推理</t>
        </is>
      </c>
      <c r="F195" s="88" t="inlineStr">
        <is>
          <t>處理非線性數據與複雜系統，建構基於經驗證據的嚴謹科學論證，完成誤差傳播與不確定性量化</t>
        </is>
      </c>
      <c r="G195" s="88" t="inlineStr">
        <is>
          <t>不確定度量化分析報告、科學論證答辯評定表</t>
        </is>
      </c>
      <c r="H195" s="89" t="inlineStr">
        <is>
          <t>未檢視</t>
        </is>
      </c>
      <c r="I195" s="90">
        <f>IF(H195="未出現",0,IF(H195="部分出現",1,IF(H195="穩定出現",2,"")))</f>
        <v/>
      </c>
      <c r="J195" s="87" t="n"/>
      <c r="K195" s="88" t="n"/>
      <c r="L195" s="48" t="n"/>
      <c r="M195" s="48" t="n"/>
      <c r="N195" s="48" t="n"/>
      <c r="O195" s="92" t="n"/>
    </row>
    <row r="196" ht="42" customHeight="1">
      <c r="A196" s="82" t="n">
        <v>191</v>
      </c>
      <c r="B196" s="82" t="inlineStr">
        <is>
          <t>S4–S6</t>
        </is>
      </c>
      <c r="C196" s="82" t="inlineStr">
        <is>
          <t>S6</t>
        </is>
      </c>
      <c r="D196" s="87" t="inlineStr">
        <is>
          <t>科學科</t>
        </is>
      </c>
      <c r="E196" s="88" t="inlineStr">
        <is>
          <t>解難與建模</t>
        </is>
      </c>
      <c r="F196" s="88" t="inlineStr">
        <is>
          <t>開展真實跨學科科研專題探究，整合傳感器物聯網與理論模型，評估工程可行性與生態影響</t>
        </is>
      </c>
      <c r="G196" s="88" t="inlineStr">
        <is>
          <t>跨學科科研專題設計書、原型測試與改進迭代誌</t>
        </is>
      </c>
      <c r="H196" s="89" t="inlineStr">
        <is>
          <t>未檢視</t>
        </is>
      </c>
      <c r="I196" s="90">
        <f>IF(H196="未出現",0,IF(H196="部分出現",1,IF(H196="穩定出現",2,"")))</f>
        <v/>
      </c>
      <c r="J196" s="87" t="n"/>
      <c r="K196" s="88" t="n"/>
      <c r="L196" s="48" t="n"/>
      <c r="M196" s="48" t="n"/>
      <c r="N196" s="48" t="n"/>
      <c r="O196" s="92" t="n"/>
    </row>
    <row r="197" ht="42" customHeight="1">
      <c r="A197" s="82" t="n">
        <v>192</v>
      </c>
      <c r="B197" s="82" t="inlineStr">
        <is>
          <t>S4–S6</t>
        </is>
      </c>
      <c r="C197" s="82" t="inlineStr">
        <is>
          <t>S6</t>
        </is>
      </c>
      <c r="D197" s="87" t="inlineStr">
        <is>
          <t>科學科</t>
        </is>
      </c>
      <c r="E197" s="88" t="inlineStr">
        <is>
          <t>AI 與數碼素養</t>
        </is>
      </c>
      <c r="F197" s="88" t="inlineStr">
        <is>
          <t>獨立核實 AI 科學解釋正確性，嚴禁使用 AI 偽造實驗數據；保留原始感測器數據，質詢 AI 幻覺</t>
        </is>
      </c>
      <c r="G197" s="88" t="inlineStr">
        <is>
          <t>原始感測器傳感日誌、AI 解釋質詢與批判報告</t>
        </is>
      </c>
      <c r="H197" s="89" t="inlineStr">
        <is>
          <t>未檢視</t>
        </is>
      </c>
      <c r="I197" s="90">
        <f>IF(H197="未出現",0,IF(H197="部分出現",1,IF(H197="穩定出現",2,"")))</f>
        <v/>
      </c>
      <c r="J197" s="87" t="n"/>
      <c r="K197" s="88" t="n"/>
      <c r="L197" s="48" t="n"/>
      <c r="M197" s="48" t="n"/>
      <c r="N197" s="48" t="n"/>
      <c r="O197" s="92" t="n"/>
    </row>
    <row r="198" ht="42" customHeight="1">
      <c r="A198" s="82" t="n">
        <v>193</v>
      </c>
      <c r="B198" s="82" t="inlineStr">
        <is>
          <t>P1–P3</t>
        </is>
      </c>
      <c r="C198" s="82" t="inlineStr">
        <is>
          <t>P1</t>
        </is>
      </c>
      <c r="D198" s="87" t="inlineStr">
        <is>
          <t>資訊科技科</t>
        </is>
      </c>
      <c r="E198" s="88" t="inlineStr">
        <is>
          <t>跨學科閱讀</t>
        </is>
      </c>
      <c r="F198" s="88" t="inlineStr">
        <is>
          <t>閱讀圖像化編程積木說明、圖解算法流程與數位健康守則，準確辨析指令順序與執行結果</t>
        </is>
      </c>
      <c r="G198" s="88" t="inlineStr">
        <is>
          <t>積木指令閱讀卡、演算法圖解排序練習單</t>
        </is>
      </c>
      <c r="H198" s="89" t="inlineStr">
        <is>
          <t>未檢視</t>
        </is>
      </c>
      <c r="I198" s="90">
        <f>IF(H198="未出現",0,IF(H198="部分出現",1,IF(H198="穩定出現",2,"")))</f>
        <v/>
      </c>
      <c r="J198" s="87" t="n"/>
      <c r="K198" s="88" t="n"/>
      <c r="L198" s="48" t="n"/>
      <c r="M198" s="48" t="n"/>
      <c r="N198" s="48" t="n"/>
      <c r="O198" s="92" t="n"/>
    </row>
    <row r="199" ht="42" customHeight="1">
      <c r="A199" s="82" t="n">
        <v>194</v>
      </c>
      <c r="B199" s="82" t="inlineStr">
        <is>
          <t>P1–P3</t>
        </is>
      </c>
      <c r="C199" s="82" t="inlineStr">
        <is>
          <t>P1</t>
        </is>
      </c>
      <c r="D199" s="87" t="inlineStr">
        <is>
          <t>資訊科技科</t>
        </is>
      </c>
      <c r="E199" s="88" t="inlineStr">
        <is>
          <t>證據推理</t>
        </is>
      </c>
      <c r="F199" s="88" t="inlineStr">
        <is>
          <t>根據程式運行結果與預期偏差定位錯誤積木，用口語清晰解釋「為什麼程式卡在這裡」</t>
        </is>
      </c>
      <c r="G199" s="88" t="inlineStr">
        <is>
          <t>除錯（Debug）思路說明單、課堂口頭除錯評核</t>
        </is>
      </c>
      <c r="H199" s="89" t="inlineStr">
        <is>
          <t>未檢視</t>
        </is>
      </c>
      <c r="I199" s="90">
        <f>IF(H199="未出現",0,IF(H199="部分出現",1,IF(H199="穩定出現",2,"")))</f>
        <v/>
      </c>
      <c r="J199" s="87" t="n"/>
      <c r="K199" s="88" t="n"/>
      <c r="L199" s="48" t="n"/>
      <c r="M199" s="48" t="n"/>
      <c r="N199" s="48" t="n"/>
      <c r="O199" s="92" t="n"/>
    </row>
    <row r="200" ht="42" customHeight="1">
      <c r="A200" s="82" t="n">
        <v>195</v>
      </c>
      <c r="B200" s="82" t="inlineStr">
        <is>
          <t>P1–P3</t>
        </is>
      </c>
      <c r="C200" s="82" t="inlineStr">
        <is>
          <t>P1</t>
        </is>
      </c>
      <c r="D200" s="87" t="inlineStr">
        <is>
          <t>資訊科技科</t>
        </is>
      </c>
      <c r="E200" s="88" t="inlineStr">
        <is>
          <t>解難與建模</t>
        </is>
      </c>
      <c r="F200" s="88" t="inlineStr">
        <is>
          <t>將生活序列問題（紅綠燈變換、迷宮尋路）分解為循序、分支、循環積木程式模型</t>
        </is>
      </c>
      <c r="G200" s="88" t="inlineStr">
        <is>
          <t>生活演算法積木專案、程式運行演示影片/評分</t>
        </is>
      </c>
      <c r="H200" s="89" t="inlineStr">
        <is>
          <t>未檢視</t>
        </is>
      </c>
      <c r="I200" s="90">
        <f>IF(H200="未出現",0,IF(H200="部分出現",1,IF(H200="穩定出現",2,"")))</f>
        <v/>
      </c>
      <c r="J200" s="87" t="n"/>
      <c r="K200" s="88" t="n"/>
      <c r="L200" s="48" t="n"/>
      <c r="M200" s="48" t="n"/>
      <c r="N200" s="48" t="n"/>
      <c r="O200" s="92" t="n"/>
    </row>
    <row r="201" ht="42" customHeight="1">
      <c r="A201" s="82" t="n">
        <v>196</v>
      </c>
      <c r="B201" s="82" t="inlineStr">
        <is>
          <t>P1–P3</t>
        </is>
      </c>
      <c r="C201" s="82" t="inlineStr">
        <is>
          <t>P1</t>
        </is>
      </c>
      <c r="D201" s="87" t="inlineStr">
        <is>
          <t>資訊科技科</t>
        </is>
      </c>
      <c r="E201" s="88" t="inlineStr">
        <is>
          <t>AI 與數碼素養</t>
        </is>
      </c>
      <c r="F201" s="88" t="inlineStr">
        <is>
          <t>認識人工智慧在語音、人臉識別等生活場景的應用，樹立健康屏幕使用與防沉迷習慣</t>
        </is>
      </c>
      <c r="G201" s="88" t="inlineStr">
        <is>
          <t>AI 生活應用觀察單、數位健康時間管理表</t>
        </is>
      </c>
      <c r="H201" s="89" t="inlineStr">
        <is>
          <t>未檢視</t>
        </is>
      </c>
      <c r="I201" s="90">
        <f>IF(H201="未出現",0,IF(H201="部分出現",1,IF(H201="穩定出現",2,"")))</f>
        <v/>
      </c>
      <c r="J201" s="87" t="n"/>
      <c r="K201" s="88" t="n"/>
      <c r="L201" s="48" t="n"/>
      <c r="M201" s="48" t="n"/>
      <c r="N201" s="48" t="n"/>
      <c r="O201" s="92" t="n"/>
    </row>
    <row r="202" ht="42" customHeight="1">
      <c r="A202" s="82" t="n">
        <v>197</v>
      </c>
      <c r="B202" s="82" t="inlineStr">
        <is>
          <t>P1–P3</t>
        </is>
      </c>
      <c r="C202" s="82" t="inlineStr">
        <is>
          <t>P2</t>
        </is>
      </c>
      <c r="D202" s="87" t="inlineStr">
        <is>
          <t>資訊科技科</t>
        </is>
      </c>
      <c r="E202" s="88" t="inlineStr">
        <is>
          <t>跨學科閱讀</t>
        </is>
      </c>
      <c r="F202" s="88" t="inlineStr">
        <is>
          <t>閱讀圖像化編程積木說明、圖解算法流程與數位健康守則，準確辨析指令順序與執行結果</t>
        </is>
      </c>
      <c r="G202" s="88" t="inlineStr">
        <is>
          <t>積木指令閱讀卡、演算法圖解排序練習單</t>
        </is>
      </c>
      <c r="H202" s="89" t="inlineStr">
        <is>
          <t>未檢視</t>
        </is>
      </c>
      <c r="I202" s="90">
        <f>IF(H202="未出現",0,IF(H202="部分出現",1,IF(H202="穩定出現",2,"")))</f>
        <v/>
      </c>
      <c r="J202" s="87" t="n"/>
      <c r="K202" s="88" t="n"/>
      <c r="L202" s="48" t="n"/>
      <c r="M202" s="48" t="n"/>
      <c r="N202" s="48" t="n"/>
      <c r="O202" s="92" t="n"/>
    </row>
    <row r="203" ht="42" customHeight="1">
      <c r="A203" s="82" t="n">
        <v>198</v>
      </c>
      <c r="B203" s="82" t="inlineStr">
        <is>
          <t>P1–P3</t>
        </is>
      </c>
      <c r="C203" s="82" t="inlineStr">
        <is>
          <t>P2</t>
        </is>
      </c>
      <c r="D203" s="87" t="inlineStr">
        <is>
          <t>資訊科技科</t>
        </is>
      </c>
      <c r="E203" s="88" t="inlineStr">
        <is>
          <t>證據推理</t>
        </is>
      </c>
      <c r="F203" s="88" t="inlineStr">
        <is>
          <t>根據程式運行結果與預期偏差定位錯誤積木，用口語清晰解釋「為什麼程式卡在這裡」</t>
        </is>
      </c>
      <c r="G203" s="88" t="inlineStr">
        <is>
          <t>除錯（Debug）思路說明單、課堂口頭除錯評核</t>
        </is>
      </c>
      <c r="H203" s="89" t="inlineStr">
        <is>
          <t>未檢視</t>
        </is>
      </c>
      <c r="I203" s="90">
        <f>IF(H203="未出現",0,IF(H203="部分出現",1,IF(H203="穩定出現",2,"")))</f>
        <v/>
      </c>
      <c r="J203" s="87" t="n"/>
      <c r="K203" s="88" t="n"/>
      <c r="L203" s="48" t="n"/>
      <c r="M203" s="48" t="n"/>
      <c r="N203" s="48" t="n"/>
      <c r="O203" s="92" t="n"/>
    </row>
    <row r="204" ht="42" customHeight="1">
      <c r="A204" s="82" t="n">
        <v>199</v>
      </c>
      <c r="B204" s="82" t="inlineStr">
        <is>
          <t>P1–P3</t>
        </is>
      </c>
      <c r="C204" s="82" t="inlineStr">
        <is>
          <t>P2</t>
        </is>
      </c>
      <c r="D204" s="87" t="inlineStr">
        <is>
          <t>資訊科技科</t>
        </is>
      </c>
      <c r="E204" s="88" t="inlineStr">
        <is>
          <t>解難與建模</t>
        </is>
      </c>
      <c r="F204" s="88" t="inlineStr">
        <is>
          <t>將生活序列問題（紅綠燈變換、迷宮尋路）分解為循序、分支、循環積木程式模型</t>
        </is>
      </c>
      <c r="G204" s="88" t="inlineStr">
        <is>
          <t>生活演算法積木專案、程式運行演示影片/評分</t>
        </is>
      </c>
      <c r="H204" s="89" t="inlineStr">
        <is>
          <t>未檢視</t>
        </is>
      </c>
      <c r="I204" s="90">
        <f>IF(H204="未出現",0,IF(H204="部分出現",1,IF(H204="穩定出現",2,"")))</f>
        <v/>
      </c>
      <c r="J204" s="87" t="n"/>
      <c r="K204" s="88" t="n"/>
      <c r="L204" s="48" t="n"/>
      <c r="M204" s="48" t="n"/>
      <c r="N204" s="48" t="n"/>
      <c r="O204" s="92" t="n"/>
    </row>
    <row r="205" ht="42" customHeight="1">
      <c r="A205" s="82" t="n">
        <v>200</v>
      </c>
      <c r="B205" s="82" t="inlineStr">
        <is>
          <t>P1–P3</t>
        </is>
      </c>
      <c r="C205" s="82" t="inlineStr">
        <is>
          <t>P2</t>
        </is>
      </c>
      <c r="D205" s="87" t="inlineStr">
        <is>
          <t>資訊科技科</t>
        </is>
      </c>
      <c r="E205" s="88" t="inlineStr">
        <is>
          <t>AI 與數碼素養</t>
        </is>
      </c>
      <c r="F205" s="88" t="inlineStr">
        <is>
          <t>認識人工智慧在語音、人臉識別等生活場景的應用，樹立健康屏幕使用與防沉迷習慣</t>
        </is>
      </c>
      <c r="G205" s="88" t="inlineStr">
        <is>
          <t>AI 生活應用觀察單、數位健康時間管理表</t>
        </is>
      </c>
      <c r="H205" s="89" t="inlineStr">
        <is>
          <t>未檢視</t>
        </is>
      </c>
      <c r="I205" s="90">
        <f>IF(H205="未出現",0,IF(H205="部分出現",1,IF(H205="穩定出現",2,"")))</f>
        <v/>
      </c>
      <c r="J205" s="87" t="n"/>
      <c r="K205" s="88" t="n"/>
      <c r="L205" s="48" t="n"/>
      <c r="M205" s="48" t="n"/>
      <c r="N205" s="48" t="n"/>
      <c r="O205" s="92" t="n"/>
    </row>
    <row r="206" ht="42" customHeight="1">
      <c r="A206" s="82" t="n">
        <v>201</v>
      </c>
      <c r="B206" s="82" t="inlineStr">
        <is>
          <t>P1–P3</t>
        </is>
      </c>
      <c r="C206" s="82" t="inlineStr">
        <is>
          <t>P3</t>
        </is>
      </c>
      <c r="D206" s="87" t="inlineStr">
        <is>
          <t>資訊科技科</t>
        </is>
      </c>
      <c r="E206" s="88" t="inlineStr">
        <is>
          <t>跨學科閱讀</t>
        </is>
      </c>
      <c r="F206" s="88" t="inlineStr">
        <is>
          <t>閱讀圖像化編程積木說明、圖解算法流程與數位健康守則，準確辨析指令順序與執行結果</t>
        </is>
      </c>
      <c r="G206" s="88" t="inlineStr">
        <is>
          <t>積木指令閱讀卡、演算法圖解排序練習單</t>
        </is>
      </c>
      <c r="H206" s="89" t="inlineStr">
        <is>
          <t>未檢視</t>
        </is>
      </c>
      <c r="I206" s="90">
        <f>IF(H206="未出現",0,IF(H206="部分出現",1,IF(H206="穩定出現",2,"")))</f>
        <v/>
      </c>
      <c r="J206" s="87" t="n"/>
      <c r="K206" s="88" t="n"/>
      <c r="L206" s="48" t="n"/>
      <c r="M206" s="48" t="n"/>
      <c r="N206" s="48" t="n"/>
      <c r="O206" s="92" t="n"/>
    </row>
    <row r="207" ht="42" customHeight="1">
      <c r="A207" s="82" t="n">
        <v>202</v>
      </c>
      <c r="B207" s="82" t="inlineStr">
        <is>
          <t>P1–P3</t>
        </is>
      </c>
      <c r="C207" s="82" t="inlineStr">
        <is>
          <t>P3</t>
        </is>
      </c>
      <c r="D207" s="87" t="inlineStr">
        <is>
          <t>資訊科技科</t>
        </is>
      </c>
      <c r="E207" s="88" t="inlineStr">
        <is>
          <t>證據推理</t>
        </is>
      </c>
      <c r="F207" s="88" t="inlineStr">
        <is>
          <t>根據程式運行結果與預期偏差定位錯誤積木，用口語清晰解釋「為什麼程式卡在這裡」</t>
        </is>
      </c>
      <c r="G207" s="88" t="inlineStr">
        <is>
          <t>除錯（Debug）思路說明單、課堂口頭除錯評核</t>
        </is>
      </c>
      <c r="H207" s="89" t="inlineStr">
        <is>
          <t>未檢視</t>
        </is>
      </c>
      <c r="I207" s="90">
        <f>IF(H207="未出現",0,IF(H207="部分出現",1,IF(H207="穩定出現",2,"")))</f>
        <v/>
      </c>
      <c r="J207" s="87" t="n"/>
      <c r="K207" s="88" t="n"/>
      <c r="L207" s="48" t="n"/>
      <c r="M207" s="48" t="n"/>
      <c r="N207" s="48" t="n"/>
      <c r="O207" s="92" t="n"/>
    </row>
    <row r="208" ht="42" customHeight="1">
      <c r="A208" s="82" t="n">
        <v>203</v>
      </c>
      <c r="B208" s="82" t="inlineStr">
        <is>
          <t>P1–P3</t>
        </is>
      </c>
      <c r="C208" s="82" t="inlineStr">
        <is>
          <t>P3</t>
        </is>
      </c>
      <c r="D208" s="87" t="inlineStr">
        <is>
          <t>資訊科技科</t>
        </is>
      </c>
      <c r="E208" s="88" t="inlineStr">
        <is>
          <t>解難與建模</t>
        </is>
      </c>
      <c r="F208" s="88" t="inlineStr">
        <is>
          <t>將生活序列問題（紅綠燈變換、迷宮尋路）分解為循序、分支、循環積木程式模型</t>
        </is>
      </c>
      <c r="G208" s="88" t="inlineStr">
        <is>
          <t>生活演算法積木專案、程式運行演示影片/評分</t>
        </is>
      </c>
      <c r="H208" s="89" t="inlineStr">
        <is>
          <t>未檢視</t>
        </is>
      </c>
      <c r="I208" s="90">
        <f>IF(H208="未出現",0,IF(H208="部分出現",1,IF(H208="穩定出現",2,"")))</f>
        <v/>
      </c>
      <c r="J208" s="87" t="n"/>
      <c r="K208" s="88" t="n"/>
      <c r="L208" s="48" t="n"/>
      <c r="M208" s="48" t="n"/>
      <c r="N208" s="48" t="n"/>
      <c r="O208" s="92" t="n"/>
    </row>
    <row r="209" ht="42" customHeight="1">
      <c r="A209" s="82" t="n">
        <v>204</v>
      </c>
      <c r="B209" s="82" t="inlineStr">
        <is>
          <t>P1–P3</t>
        </is>
      </c>
      <c r="C209" s="82" t="inlineStr">
        <is>
          <t>P3</t>
        </is>
      </c>
      <c r="D209" s="87" t="inlineStr">
        <is>
          <t>資訊科技科</t>
        </is>
      </c>
      <c r="E209" s="88" t="inlineStr">
        <is>
          <t>AI 與數碼素養</t>
        </is>
      </c>
      <c r="F209" s="88" t="inlineStr">
        <is>
          <t>認識人工智慧在語音、人臉識別等生活場景的應用，樹立健康屏幕使用與防沉迷習慣</t>
        </is>
      </c>
      <c r="G209" s="88" t="inlineStr">
        <is>
          <t>AI 生活應用觀察單、數位健康時間管理表</t>
        </is>
      </c>
      <c r="H209" s="89" t="inlineStr">
        <is>
          <t>未檢視</t>
        </is>
      </c>
      <c r="I209" s="90">
        <f>IF(H209="未出現",0,IF(H209="部分出現",1,IF(H209="穩定出現",2,"")))</f>
        <v/>
      </c>
      <c r="J209" s="87" t="n"/>
      <c r="K209" s="88" t="n"/>
      <c r="L209" s="48" t="n"/>
      <c r="M209" s="48" t="n"/>
      <c r="N209" s="48" t="n"/>
      <c r="O209" s="92" t="n"/>
    </row>
    <row r="210" ht="42" customHeight="1">
      <c r="A210" s="82" t="n">
        <v>205</v>
      </c>
      <c r="B210" s="82" t="inlineStr">
        <is>
          <t>P4–P6</t>
        </is>
      </c>
      <c r="C210" s="82" t="inlineStr">
        <is>
          <t>P4</t>
        </is>
      </c>
      <c r="D210" s="87" t="inlineStr">
        <is>
          <t>資訊科技科</t>
        </is>
      </c>
      <c r="E210" s="88" t="inlineStr">
        <is>
          <t>跨學科閱讀</t>
        </is>
      </c>
      <c r="F210" s="88" t="inlineStr">
        <is>
          <t>閱讀結構化演算法流程圖、模組說明手冊與數據編碼圖表，理清條件判斷與循環邊界邏輯</t>
        </is>
      </c>
      <c r="G210" s="88" t="inlineStr">
        <is>
          <t>流程圖邏輯閱讀作業、模組規格閱讀筆記</t>
        </is>
      </c>
      <c r="H210" s="89" t="inlineStr">
        <is>
          <t>未檢視</t>
        </is>
      </c>
      <c r="I210" s="90">
        <f>IF(H210="未出現",0,IF(H210="部分出現",1,IF(H210="穩定出現",2,"")))</f>
        <v/>
      </c>
      <c r="J210" s="87" t="n"/>
      <c r="K210" s="88" t="n"/>
      <c r="L210" s="48" t="n"/>
      <c r="M210" s="48" t="n"/>
      <c r="N210" s="48" t="n"/>
      <c r="O210" s="92" t="n"/>
    </row>
    <row r="211" ht="42" customHeight="1">
      <c r="A211" s="82" t="n">
        <v>206</v>
      </c>
      <c r="B211" s="82" t="inlineStr">
        <is>
          <t>P4–P6</t>
        </is>
      </c>
      <c r="C211" s="82" t="inlineStr">
        <is>
          <t>P4</t>
        </is>
      </c>
      <c r="D211" s="87" t="inlineStr">
        <is>
          <t>資訊科技科</t>
        </is>
      </c>
      <c r="E211" s="88" t="inlineStr">
        <is>
          <t>證據推理</t>
        </is>
      </c>
      <c r="F211" s="88" t="inlineStr">
        <is>
          <t>設計邊界測試用例（Test Cases）驗證程式正確性，以運行反例證明演算法漏洞</t>
        </is>
      </c>
      <c r="G211" s="88" t="inlineStr">
        <is>
          <t>測試用例設計清單、程式缺陷反例記錄表</t>
        </is>
      </c>
      <c r="H211" s="89" t="inlineStr">
        <is>
          <t>未檢視</t>
        </is>
      </c>
      <c r="I211" s="90">
        <f>IF(H211="未出現",0,IF(H211="部分出現",1,IF(H211="穩定出現",2,"")))</f>
        <v/>
      </c>
      <c r="J211" s="87" t="n"/>
      <c r="K211" s="88" t="n"/>
      <c r="L211" s="48" t="n"/>
      <c r="M211" s="48" t="n"/>
      <c r="N211" s="48" t="n"/>
      <c r="O211" s="92" t="n"/>
    </row>
    <row r="212" ht="42" customHeight="1">
      <c r="A212" s="82" t="n">
        <v>207</v>
      </c>
      <c r="B212" s="82" t="inlineStr">
        <is>
          <t>P4–P6</t>
        </is>
      </c>
      <c r="C212" s="82" t="inlineStr">
        <is>
          <t>P4</t>
        </is>
      </c>
      <c r="D212" s="87" t="inlineStr">
        <is>
          <t>資訊科技科</t>
        </is>
      </c>
      <c r="E212" s="88" t="inlineStr">
        <is>
          <t>解難與建模</t>
        </is>
      </c>
      <c r="F212" s="88" t="inlineStr">
        <is>
          <t>建立模組化程式解決實用校園問題，依據使用者測試反饋重構流程並優化程式碼</t>
        </is>
      </c>
      <c r="G212" s="88" t="inlineStr">
        <is>
          <t>校園實用小程式專案、使用者反饋與修訂日誌</t>
        </is>
      </c>
      <c r="H212" s="89" t="inlineStr">
        <is>
          <t>未檢視</t>
        </is>
      </c>
      <c r="I212" s="90">
        <f>IF(H212="未出現",0,IF(H212="部分出現",1,IF(H212="穩定出現",2,"")))</f>
        <v/>
      </c>
      <c r="J212" s="87" t="n"/>
      <c r="K212" s="88" t="n"/>
      <c r="L212" s="48" t="n"/>
      <c r="M212" s="48" t="n"/>
      <c r="N212" s="48" t="n"/>
      <c r="O212" s="92" t="n"/>
    </row>
    <row r="213" ht="42" customHeight="1">
      <c r="A213" s="82" t="n">
        <v>208</v>
      </c>
      <c r="B213" s="82" t="inlineStr">
        <is>
          <t>P4–P6</t>
        </is>
      </c>
      <c r="C213" s="82" t="inlineStr">
        <is>
          <t>P4</t>
        </is>
      </c>
      <c r="D213" s="87" t="inlineStr">
        <is>
          <t>資訊科技科</t>
        </is>
      </c>
      <c r="E213" s="88" t="inlineStr">
        <is>
          <t>AI 與數碼素養</t>
        </is>
      </c>
      <c r="F213" s="88" t="inlineStr">
        <is>
          <t>體驗機器學習分類模型之運作，探討演算法偏差與隱私保護，進行無插電運算思維探究</t>
        </is>
      </c>
      <c r="G213" s="88" t="inlineStr">
        <is>
          <t>無插電演算法思維活動單、AI 公平性討論筆記</t>
        </is>
      </c>
      <c r="H213" s="89" t="inlineStr">
        <is>
          <t>未檢視</t>
        </is>
      </c>
      <c r="I213" s="90">
        <f>IF(H213="未出現",0,IF(H213="部分出現",1,IF(H213="穩定出現",2,"")))</f>
        <v/>
      </c>
      <c r="J213" s="87" t="n"/>
      <c r="K213" s="88" t="n"/>
      <c r="L213" s="48" t="n"/>
      <c r="M213" s="48" t="n"/>
      <c r="N213" s="48" t="n"/>
      <c r="O213" s="92" t="n"/>
    </row>
    <row r="214" ht="42" customHeight="1">
      <c r="A214" s="82" t="n">
        <v>209</v>
      </c>
      <c r="B214" s="82" t="inlineStr">
        <is>
          <t>P4–P6</t>
        </is>
      </c>
      <c r="C214" s="82" t="inlineStr">
        <is>
          <t>P5</t>
        </is>
      </c>
      <c r="D214" s="87" t="inlineStr">
        <is>
          <t>資訊科技科</t>
        </is>
      </c>
      <c r="E214" s="88" t="inlineStr">
        <is>
          <t>跨學科閱讀</t>
        </is>
      </c>
      <c r="F214" s="88" t="inlineStr">
        <is>
          <t>閱讀結構化演算法流程圖、模組說明手冊與數據編碼圖表，理清條件判斷與循環邊界邏輯</t>
        </is>
      </c>
      <c r="G214" s="88" t="inlineStr">
        <is>
          <t>流程圖邏輯閱讀作業、模組規格閱讀筆記</t>
        </is>
      </c>
      <c r="H214" s="89" t="inlineStr">
        <is>
          <t>未檢視</t>
        </is>
      </c>
      <c r="I214" s="90">
        <f>IF(H214="未出現",0,IF(H214="部分出現",1,IF(H214="穩定出現",2,"")))</f>
        <v/>
      </c>
      <c r="J214" s="87" t="n"/>
      <c r="K214" s="88" t="n"/>
      <c r="L214" s="48" t="n"/>
      <c r="M214" s="48" t="n"/>
      <c r="N214" s="48" t="n"/>
      <c r="O214" s="92" t="n"/>
    </row>
    <row r="215" ht="42" customHeight="1">
      <c r="A215" s="82" t="n">
        <v>210</v>
      </c>
      <c r="B215" s="82" t="inlineStr">
        <is>
          <t>P4–P6</t>
        </is>
      </c>
      <c r="C215" s="82" t="inlineStr">
        <is>
          <t>P5</t>
        </is>
      </c>
      <c r="D215" s="87" t="inlineStr">
        <is>
          <t>資訊科技科</t>
        </is>
      </c>
      <c r="E215" s="88" t="inlineStr">
        <is>
          <t>證據推理</t>
        </is>
      </c>
      <c r="F215" s="88" t="inlineStr">
        <is>
          <t>設計邊界測試用例（Test Cases）驗證程式正確性，以運行反例證明演算法漏洞</t>
        </is>
      </c>
      <c r="G215" s="88" t="inlineStr">
        <is>
          <t>測試用例設計清單、程式缺陷反例記錄表</t>
        </is>
      </c>
      <c r="H215" s="89" t="inlineStr">
        <is>
          <t>未檢視</t>
        </is>
      </c>
      <c r="I215" s="90">
        <f>IF(H215="未出現",0,IF(H215="部分出現",1,IF(H215="穩定出現",2,"")))</f>
        <v/>
      </c>
      <c r="J215" s="87" t="n"/>
      <c r="K215" s="88" t="n"/>
      <c r="L215" s="48" t="n"/>
      <c r="M215" s="48" t="n"/>
      <c r="N215" s="48" t="n"/>
      <c r="O215" s="92" t="n"/>
    </row>
    <row r="216" ht="42" customHeight="1">
      <c r="A216" s="82" t="n">
        <v>211</v>
      </c>
      <c r="B216" s="82" t="inlineStr">
        <is>
          <t>P4–P6</t>
        </is>
      </c>
      <c r="C216" s="82" t="inlineStr">
        <is>
          <t>P5</t>
        </is>
      </c>
      <c r="D216" s="87" t="inlineStr">
        <is>
          <t>資訊科技科</t>
        </is>
      </c>
      <c r="E216" s="88" t="inlineStr">
        <is>
          <t>解難與建模</t>
        </is>
      </c>
      <c r="F216" s="88" t="inlineStr">
        <is>
          <t>建立模組化程式解決實用校園問題，依據使用者測試反饋重構流程並優化程式碼</t>
        </is>
      </c>
      <c r="G216" s="88" t="inlineStr">
        <is>
          <t>校園實用小程式專案、使用者反饋與修訂日誌</t>
        </is>
      </c>
      <c r="H216" s="89" t="inlineStr">
        <is>
          <t>未檢視</t>
        </is>
      </c>
      <c r="I216" s="90">
        <f>IF(H216="未出現",0,IF(H216="部分出現",1,IF(H216="穩定出現",2,"")))</f>
        <v/>
      </c>
      <c r="J216" s="87" t="n"/>
      <c r="K216" s="88" t="n"/>
      <c r="L216" s="48" t="n"/>
      <c r="M216" s="48" t="n"/>
      <c r="N216" s="48" t="n"/>
      <c r="O216" s="92" t="n"/>
    </row>
    <row r="217" ht="42" customHeight="1">
      <c r="A217" s="82" t="n">
        <v>212</v>
      </c>
      <c r="B217" s="82" t="inlineStr">
        <is>
          <t>P4–P6</t>
        </is>
      </c>
      <c r="C217" s="82" t="inlineStr">
        <is>
          <t>P5</t>
        </is>
      </c>
      <c r="D217" s="87" t="inlineStr">
        <is>
          <t>資訊科技科</t>
        </is>
      </c>
      <c r="E217" s="88" t="inlineStr">
        <is>
          <t>AI 與數碼素養</t>
        </is>
      </c>
      <c r="F217" s="88" t="inlineStr">
        <is>
          <t>體驗機器學習分類模型之運作，探討演算法偏差與隱私保護，進行無插電運算思維探究</t>
        </is>
      </c>
      <c r="G217" s="88" t="inlineStr">
        <is>
          <t>無插電演算法思維活動單、AI 公平性討論筆記</t>
        </is>
      </c>
      <c r="H217" s="89" t="inlineStr">
        <is>
          <t>未檢視</t>
        </is>
      </c>
      <c r="I217" s="90">
        <f>IF(H217="未出現",0,IF(H217="部分出現",1,IF(H217="穩定出現",2,"")))</f>
        <v/>
      </c>
      <c r="J217" s="87" t="n"/>
      <c r="K217" s="88" t="n"/>
      <c r="L217" s="48" t="n"/>
      <c r="M217" s="48" t="n"/>
      <c r="N217" s="48" t="n"/>
      <c r="O217" s="92" t="n"/>
    </row>
    <row r="218" ht="42" customHeight="1">
      <c r="A218" s="82" t="n">
        <v>213</v>
      </c>
      <c r="B218" s="82" t="inlineStr">
        <is>
          <t>P4–P6</t>
        </is>
      </c>
      <c r="C218" s="82" t="inlineStr">
        <is>
          <t>P6</t>
        </is>
      </c>
      <c r="D218" s="87" t="inlineStr">
        <is>
          <t>資訊科技科</t>
        </is>
      </c>
      <c r="E218" s="88" t="inlineStr">
        <is>
          <t>跨學科閱讀</t>
        </is>
      </c>
      <c r="F218" s="88" t="inlineStr">
        <is>
          <t>閱讀結構化演算法流程圖、模組說明手冊與數據編碼圖表，理清條件判斷與循環邊界邏輯</t>
        </is>
      </c>
      <c r="G218" s="88" t="inlineStr">
        <is>
          <t>流程圖邏輯閱讀作業、模組規格閱讀筆記</t>
        </is>
      </c>
      <c r="H218" s="89" t="inlineStr">
        <is>
          <t>未檢視</t>
        </is>
      </c>
      <c r="I218" s="90">
        <f>IF(H218="未出現",0,IF(H218="部分出現",1,IF(H218="穩定出現",2,"")))</f>
        <v/>
      </c>
      <c r="J218" s="87" t="n"/>
      <c r="K218" s="88" t="n"/>
      <c r="L218" s="48" t="n"/>
      <c r="M218" s="48" t="n"/>
      <c r="N218" s="48" t="n"/>
      <c r="O218" s="92" t="n"/>
    </row>
    <row r="219" ht="42" customHeight="1">
      <c r="A219" s="82" t="n">
        <v>214</v>
      </c>
      <c r="B219" s="82" t="inlineStr">
        <is>
          <t>P4–P6</t>
        </is>
      </c>
      <c r="C219" s="82" t="inlineStr">
        <is>
          <t>P6</t>
        </is>
      </c>
      <c r="D219" s="87" t="inlineStr">
        <is>
          <t>資訊科技科</t>
        </is>
      </c>
      <c r="E219" s="88" t="inlineStr">
        <is>
          <t>證據推理</t>
        </is>
      </c>
      <c r="F219" s="88" t="inlineStr">
        <is>
          <t>設計邊界測試用例（Test Cases）驗證程式正確性，以運行反例證明演算法漏洞</t>
        </is>
      </c>
      <c r="G219" s="88" t="inlineStr">
        <is>
          <t>測試用例設計清單、程式缺陷反例記錄表</t>
        </is>
      </c>
      <c r="H219" s="89" t="inlineStr">
        <is>
          <t>未檢視</t>
        </is>
      </c>
      <c r="I219" s="90">
        <f>IF(H219="未出現",0,IF(H219="部分出現",1,IF(H219="穩定出現",2,"")))</f>
        <v/>
      </c>
      <c r="J219" s="87" t="n"/>
      <c r="K219" s="88" t="n"/>
      <c r="L219" s="48" t="n"/>
      <c r="M219" s="48" t="n"/>
      <c r="N219" s="48" t="n"/>
      <c r="O219" s="92" t="n"/>
    </row>
    <row r="220" ht="42" customHeight="1">
      <c r="A220" s="82" t="n">
        <v>215</v>
      </c>
      <c r="B220" s="82" t="inlineStr">
        <is>
          <t>P4–P6</t>
        </is>
      </c>
      <c r="C220" s="82" t="inlineStr">
        <is>
          <t>P6</t>
        </is>
      </c>
      <c r="D220" s="87" t="inlineStr">
        <is>
          <t>資訊科技科</t>
        </is>
      </c>
      <c r="E220" s="88" t="inlineStr">
        <is>
          <t>解難與建模</t>
        </is>
      </c>
      <c r="F220" s="88" t="inlineStr">
        <is>
          <t>建立模組化程式解決實用校園問題，依據使用者測試反饋重構流程並優化程式碼</t>
        </is>
      </c>
      <c r="G220" s="88" t="inlineStr">
        <is>
          <t>校園實用小程式專案、使用者反饋與修訂日誌</t>
        </is>
      </c>
      <c r="H220" s="89" t="inlineStr">
        <is>
          <t>未檢視</t>
        </is>
      </c>
      <c r="I220" s="90">
        <f>IF(H220="未出現",0,IF(H220="部分出現",1,IF(H220="穩定出現",2,"")))</f>
        <v/>
      </c>
      <c r="J220" s="87" t="n"/>
      <c r="K220" s="88" t="n"/>
      <c r="L220" s="48" t="n"/>
      <c r="M220" s="48" t="n"/>
      <c r="N220" s="48" t="n"/>
      <c r="O220" s="92" t="n"/>
    </row>
    <row r="221" ht="42" customHeight="1">
      <c r="A221" s="82" t="n">
        <v>216</v>
      </c>
      <c r="B221" s="82" t="inlineStr">
        <is>
          <t>P4–P6</t>
        </is>
      </c>
      <c r="C221" s="82" t="inlineStr">
        <is>
          <t>P6</t>
        </is>
      </c>
      <c r="D221" s="87" t="inlineStr">
        <is>
          <t>資訊科技科</t>
        </is>
      </c>
      <c r="E221" s="88" t="inlineStr">
        <is>
          <t>AI 與數碼素養</t>
        </is>
      </c>
      <c r="F221" s="88" t="inlineStr">
        <is>
          <t>體驗機器學習分類模型之運作，探討演算法偏差與隱私保護，進行無插電運算思維探究</t>
        </is>
      </c>
      <c r="G221" s="88" t="inlineStr">
        <is>
          <t>無插電演算法思維活動單、AI 公平性討論筆記</t>
        </is>
      </c>
      <c r="H221" s="89" t="inlineStr">
        <is>
          <t>未檢視</t>
        </is>
      </c>
      <c r="I221" s="90">
        <f>IF(H221="未出現",0,IF(H221="部分出現",1,IF(H221="穩定出現",2,"")))</f>
        <v/>
      </c>
      <c r="J221" s="87" t="n"/>
      <c r="K221" s="88" t="n"/>
      <c r="L221" s="48" t="n"/>
      <c r="M221" s="48" t="n"/>
      <c r="N221" s="48" t="n"/>
      <c r="O221" s="92" t="n"/>
    </row>
    <row r="222" ht="42" customHeight="1">
      <c r="A222" s="82" t="n">
        <v>217</v>
      </c>
      <c r="B222" s="82" t="inlineStr">
        <is>
          <t>S1–S3</t>
        </is>
      </c>
      <c r="C222" s="82" t="inlineStr">
        <is>
          <t>S1</t>
        </is>
      </c>
      <c r="D222" s="87" t="inlineStr">
        <is>
          <t>資訊科技科</t>
        </is>
      </c>
      <c r="E222" s="88" t="inlineStr">
        <is>
          <t>跨學科閱讀</t>
        </is>
      </c>
      <c r="F222" s="88" t="inlineStr">
        <is>
          <t>閱讀官方技術文檔、API 介面規格、網絡協定結構圖與開源許可證，理解系統依賴架構</t>
        </is>
      </c>
      <c r="G222" s="88" t="inlineStr">
        <is>
          <t>API 文檔閱讀摘記、開源授權條款比對表</t>
        </is>
      </c>
      <c r="H222" s="89" t="inlineStr">
        <is>
          <t>未檢視</t>
        </is>
      </c>
      <c r="I222" s="90">
        <f>IF(H222="未出現",0,IF(H222="部分出現",1,IF(H222="穩定出現",2,"")))</f>
        <v/>
      </c>
      <c r="J222" s="87" t="n"/>
      <c r="K222" s="88" t="n"/>
      <c r="L222" s="48" t="n"/>
      <c r="M222" s="48" t="n"/>
      <c r="N222" s="48" t="n"/>
      <c r="O222" s="92" t="n"/>
    </row>
    <row r="223" ht="42" customHeight="1">
      <c r="A223" s="82" t="n">
        <v>218</v>
      </c>
      <c r="B223" s="82" t="inlineStr">
        <is>
          <t>S1–S3</t>
        </is>
      </c>
      <c r="C223" s="82" t="inlineStr">
        <is>
          <t>S1</t>
        </is>
      </c>
      <c r="D223" s="87" t="inlineStr">
        <is>
          <t>資訊科技科</t>
        </is>
      </c>
      <c r="E223" s="88" t="inlineStr">
        <is>
          <t>證據推理</t>
        </is>
      </c>
      <c r="F223" s="88" t="inlineStr">
        <is>
          <t>運用除錯日誌與斷點單步執行分析記憶體與變數狀態，以運行數據支持演算法效率推論</t>
        </is>
      </c>
      <c r="G223" s="88" t="inlineStr">
        <is>
          <t>除錯日誌分析報告、演算法運行效率對比圖</t>
        </is>
      </c>
      <c r="H223" s="89" t="inlineStr">
        <is>
          <t>未檢視</t>
        </is>
      </c>
      <c r="I223" s="90">
        <f>IF(H223="未出現",0,IF(H223="部分出現",1,IF(H223="穩定出現",2,"")))</f>
        <v/>
      </c>
      <c r="J223" s="87" t="n"/>
      <c r="K223" s="88" t="n"/>
      <c r="L223" s="48" t="n"/>
      <c r="M223" s="48" t="n"/>
      <c r="N223" s="48" t="n"/>
      <c r="O223" s="92" t="n"/>
    </row>
    <row r="224" ht="42" customHeight="1">
      <c r="A224" s="82" t="n">
        <v>219</v>
      </c>
      <c r="B224" s="82" t="inlineStr">
        <is>
          <t>S1–S3</t>
        </is>
      </c>
      <c r="C224" s="82" t="inlineStr">
        <is>
          <t>S1</t>
        </is>
      </c>
      <c r="D224" s="87" t="inlineStr">
        <is>
          <t>資訊科技科</t>
        </is>
      </c>
      <c r="E224" s="88" t="inlineStr">
        <is>
          <t>解難與建模</t>
        </is>
      </c>
      <c r="F224" s="88" t="inlineStr">
        <is>
          <t>運用物件導向或函數式思維進行軟體建模，將專案分解為高內聚低耦合模組，持續迭代重構</t>
        </is>
      </c>
      <c r="G224" s="88" t="inlineStr">
        <is>
          <t>物件導向架構設計圖、模組重構版本對比檔</t>
        </is>
      </c>
      <c r="H224" s="89" t="inlineStr">
        <is>
          <t>未檢視</t>
        </is>
      </c>
      <c r="I224" s="90">
        <f>IF(H224="未出現",0,IF(H224="部分出現",1,IF(H224="穩定出現",2,"")))</f>
        <v/>
      </c>
      <c r="J224" s="87" t="n"/>
      <c r="K224" s="88" t="n"/>
      <c r="L224" s="48" t="n"/>
      <c r="M224" s="48" t="n"/>
      <c r="N224" s="48" t="n"/>
      <c r="O224" s="92" t="n"/>
    </row>
    <row r="225" ht="42" customHeight="1">
      <c r="A225" s="82" t="n">
        <v>220</v>
      </c>
      <c r="B225" s="82" t="inlineStr">
        <is>
          <t>S1–S3</t>
        </is>
      </c>
      <c r="C225" s="82" t="inlineStr">
        <is>
          <t>S1</t>
        </is>
      </c>
      <c r="D225" s="87" t="inlineStr">
        <is>
          <t>資訊科技科</t>
        </is>
      </c>
      <c r="E225" s="88" t="inlineStr">
        <is>
          <t>AI 與數碼素養</t>
        </is>
      </c>
      <c r="F225" s="88" t="inlineStr">
        <is>
          <t>嚴格落實 Q-V-R-E-R：結構化 Prompt（Q），逐行 Code Trace 與測試（V），代碼重構（R），口頭 Code Review 答辯（R）</t>
        </is>
      </c>
      <c r="G225" s="88" t="inlineStr">
        <is>
          <t>Prompt 工程日誌、Code Review 逐行答辯評量單</t>
        </is>
      </c>
      <c r="H225" s="89" t="inlineStr">
        <is>
          <t>未檢視</t>
        </is>
      </c>
      <c r="I225" s="90">
        <f>IF(H225="未出現",0,IF(H225="部分出現",1,IF(H225="穩定出現",2,"")))</f>
        <v/>
      </c>
      <c r="J225" s="87" t="n"/>
      <c r="K225" s="88" t="n"/>
      <c r="L225" s="48" t="n"/>
      <c r="M225" s="48" t="n"/>
      <c r="N225" s="48" t="n"/>
      <c r="O225" s="92" t="n"/>
    </row>
    <row r="226" ht="42" customHeight="1">
      <c r="A226" s="82" t="n">
        <v>221</v>
      </c>
      <c r="B226" s="82" t="inlineStr">
        <is>
          <t>S1–S3</t>
        </is>
      </c>
      <c r="C226" s="82" t="inlineStr">
        <is>
          <t>S2</t>
        </is>
      </c>
      <c r="D226" s="87" t="inlineStr">
        <is>
          <t>資訊科技科</t>
        </is>
      </c>
      <c r="E226" s="88" t="inlineStr">
        <is>
          <t>跨學科閱讀</t>
        </is>
      </c>
      <c r="F226" s="88" t="inlineStr">
        <is>
          <t>閱讀官方技術文檔、API 介面規格、網絡協定結構圖與開源許可證，理解系統依賴架構</t>
        </is>
      </c>
      <c r="G226" s="88" t="inlineStr">
        <is>
          <t>API 文檔閱讀摘記、開源授權條款比對表</t>
        </is>
      </c>
      <c r="H226" s="89" t="inlineStr">
        <is>
          <t>未檢視</t>
        </is>
      </c>
      <c r="I226" s="90">
        <f>IF(H226="未出現",0,IF(H226="部分出現",1,IF(H226="穩定出現",2,"")))</f>
        <v/>
      </c>
      <c r="J226" s="87" t="n"/>
      <c r="K226" s="88" t="n"/>
      <c r="L226" s="48" t="n"/>
      <c r="M226" s="48" t="n"/>
      <c r="N226" s="48" t="n"/>
      <c r="O226" s="92" t="n"/>
    </row>
    <row r="227" ht="42" customHeight="1">
      <c r="A227" s="82" t="n">
        <v>222</v>
      </c>
      <c r="B227" s="82" t="inlineStr">
        <is>
          <t>S1–S3</t>
        </is>
      </c>
      <c r="C227" s="82" t="inlineStr">
        <is>
          <t>S2</t>
        </is>
      </c>
      <c r="D227" s="87" t="inlineStr">
        <is>
          <t>資訊科技科</t>
        </is>
      </c>
      <c r="E227" s="88" t="inlineStr">
        <is>
          <t>證據推理</t>
        </is>
      </c>
      <c r="F227" s="88" t="inlineStr">
        <is>
          <t>運用除錯日誌與斷點單步執行分析記憶體與變數狀態，以運行數據支持演算法效率推論</t>
        </is>
      </c>
      <c r="G227" s="88" t="inlineStr">
        <is>
          <t>除錯日誌分析報告、演算法運行效率對比圖</t>
        </is>
      </c>
      <c r="H227" s="89" t="inlineStr">
        <is>
          <t>未檢視</t>
        </is>
      </c>
      <c r="I227" s="90">
        <f>IF(H227="未出現",0,IF(H227="部分出現",1,IF(H227="穩定出現",2,"")))</f>
        <v/>
      </c>
      <c r="J227" s="87" t="n"/>
      <c r="K227" s="88" t="n"/>
      <c r="L227" s="48" t="n"/>
      <c r="M227" s="48" t="n"/>
      <c r="N227" s="48" t="n"/>
      <c r="O227" s="92" t="n"/>
    </row>
    <row r="228" ht="42" customHeight="1">
      <c r="A228" s="82" t="n">
        <v>223</v>
      </c>
      <c r="B228" s="82" t="inlineStr">
        <is>
          <t>S1–S3</t>
        </is>
      </c>
      <c r="C228" s="82" t="inlineStr">
        <is>
          <t>S2</t>
        </is>
      </c>
      <c r="D228" s="87" t="inlineStr">
        <is>
          <t>資訊科技科</t>
        </is>
      </c>
      <c r="E228" s="88" t="inlineStr">
        <is>
          <t>解難與建模</t>
        </is>
      </c>
      <c r="F228" s="88" t="inlineStr">
        <is>
          <t>運用物件導向或函數式思維進行軟體建模，將專案分解為高內聚低耦合模組，持續迭代重構</t>
        </is>
      </c>
      <c r="G228" s="88" t="inlineStr">
        <is>
          <t>物件導向架構設計圖、模組重構版本對比檔</t>
        </is>
      </c>
      <c r="H228" s="89" t="inlineStr">
        <is>
          <t>未檢視</t>
        </is>
      </c>
      <c r="I228" s="90">
        <f>IF(H228="未出現",0,IF(H228="部分出現",1,IF(H228="穩定出現",2,"")))</f>
        <v/>
      </c>
      <c r="J228" s="87" t="n"/>
      <c r="K228" s="88" t="n"/>
      <c r="L228" s="48" t="n"/>
      <c r="M228" s="48" t="n"/>
      <c r="N228" s="48" t="n"/>
      <c r="O228" s="92" t="n"/>
    </row>
    <row r="229" ht="42" customHeight="1">
      <c r="A229" s="82" t="n">
        <v>224</v>
      </c>
      <c r="B229" s="82" t="inlineStr">
        <is>
          <t>S1–S3</t>
        </is>
      </c>
      <c r="C229" s="82" t="inlineStr">
        <is>
          <t>S2</t>
        </is>
      </c>
      <c r="D229" s="87" t="inlineStr">
        <is>
          <t>資訊科技科</t>
        </is>
      </c>
      <c r="E229" s="88" t="inlineStr">
        <is>
          <t>AI 與數碼素養</t>
        </is>
      </c>
      <c r="F229" s="88" t="inlineStr">
        <is>
          <t>嚴格落實 Q-V-R-E-R：結構化 Prompt（Q），逐行 Code Trace 與測試（V），代碼重構（R），口頭 Code Review 答辯（R）</t>
        </is>
      </c>
      <c r="G229" s="88" t="inlineStr">
        <is>
          <t>Prompt 工程日誌、Code Review 逐行答辯評量單</t>
        </is>
      </c>
      <c r="H229" s="89" t="inlineStr">
        <is>
          <t>未檢視</t>
        </is>
      </c>
      <c r="I229" s="90">
        <f>IF(H229="未出現",0,IF(H229="部分出現",1,IF(H229="穩定出現",2,"")))</f>
        <v/>
      </c>
      <c r="J229" s="87" t="n"/>
      <c r="K229" s="88" t="n"/>
      <c r="L229" s="48" t="n"/>
      <c r="M229" s="48" t="n"/>
      <c r="N229" s="48" t="n"/>
      <c r="O229" s="92" t="n"/>
    </row>
    <row r="230" ht="42" customHeight="1">
      <c r="A230" s="82" t="n">
        <v>225</v>
      </c>
      <c r="B230" s="82" t="inlineStr">
        <is>
          <t>S1–S3</t>
        </is>
      </c>
      <c r="C230" s="82" t="inlineStr">
        <is>
          <t>S3</t>
        </is>
      </c>
      <c r="D230" s="87" t="inlineStr">
        <is>
          <t>資訊科技科</t>
        </is>
      </c>
      <c r="E230" s="88" t="inlineStr">
        <is>
          <t>跨學科閱讀</t>
        </is>
      </c>
      <c r="F230" s="88" t="inlineStr">
        <is>
          <t>閱讀官方技術文檔、API 介面規格、網絡協定結構圖與開源許可證，理解系統依賴架構</t>
        </is>
      </c>
      <c r="G230" s="88" t="inlineStr">
        <is>
          <t>API 文檔閱讀摘記、開源授權條款比對表</t>
        </is>
      </c>
      <c r="H230" s="89" t="inlineStr">
        <is>
          <t>未檢視</t>
        </is>
      </c>
      <c r="I230" s="90">
        <f>IF(H230="未出現",0,IF(H230="部分出現",1,IF(H230="穩定出現",2,"")))</f>
        <v/>
      </c>
      <c r="J230" s="87" t="n"/>
      <c r="K230" s="88" t="n"/>
      <c r="L230" s="48" t="n"/>
      <c r="M230" s="48" t="n"/>
      <c r="N230" s="48" t="n"/>
      <c r="O230" s="92" t="n"/>
    </row>
    <row r="231" ht="42" customHeight="1">
      <c r="A231" s="82" t="n">
        <v>226</v>
      </c>
      <c r="B231" s="82" t="inlineStr">
        <is>
          <t>S1–S3</t>
        </is>
      </c>
      <c r="C231" s="82" t="inlineStr">
        <is>
          <t>S3</t>
        </is>
      </c>
      <c r="D231" s="87" t="inlineStr">
        <is>
          <t>資訊科技科</t>
        </is>
      </c>
      <c r="E231" s="88" t="inlineStr">
        <is>
          <t>證據推理</t>
        </is>
      </c>
      <c r="F231" s="88" t="inlineStr">
        <is>
          <t>運用除錯日誌與斷點單步執行分析記憶體與變數狀態，以運行數據支持演算法效率推論</t>
        </is>
      </c>
      <c r="G231" s="88" t="inlineStr">
        <is>
          <t>除錯日誌分析報告、演算法運行效率對比圖</t>
        </is>
      </c>
      <c r="H231" s="89" t="inlineStr">
        <is>
          <t>未檢視</t>
        </is>
      </c>
      <c r="I231" s="90">
        <f>IF(H231="未出現",0,IF(H231="部分出現",1,IF(H231="穩定出現",2,"")))</f>
        <v/>
      </c>
      <c r="J231" s="87" t="n"/>
      <c r="K231" s="88" t="n"/>
      <c r="L231" s="48" t="n"/>
      <c r="M231" s="48" t="n"/>
      <c r="N231" s="48" t="n"/>
      <c r="O231" s="92" t="n"/>
    </row>
    <row r="232" ht="42" customHeight="1">
      <c r="A232" s="82" t="n">
        <v>227</v>
      </c>
      <c r="B232" s="82" t="inlineStr">
        <is>
          <t>S1–S3</t>
        </is>
      </c>
      <c r="C232" s="82" t="inlineStr">
        <is>
          <t>S3</t>
        </is>
      </c>
      <c r="D232" s="87" t="inlineStr">
        <is>
          <t>資訊科技科</t>
        </is>
      </c>
      <c r="E232" s="88" t="inlineStr">
        <is>
          <t>解難與建模</t>
        </is>
      </c>
      <c r="F232" s="88" t="inlineStr">
        <is>
          <t>運用物件導向或函數式思維進行軟體建模，將專案分解為高內聚低耦合模組，持續迭代重構</t>
        </is>
      </c>
      <c r="G232" s="88" t="inlineStr">
        <is>
          <t>物件導向架構設計圖、模組重構版本對比檔</t>
        </is>
      </c>
      <c r="H232" s="89" t="inlineStr">
        <is>
          <t>未檢視</t>
        </is>
      </c>
      <c r="I232" s="90">
        <f>IF(H232="未出現",0,IF(H232="部分出現",1,IF(H232="穩定出現",2,"")))</f>
        <v/>
      </c>
      <c r="J232" s="87" t="n"/>
      <c r="K232" s="88" t="n"/>
      <c r="L232" s="48" t="n"/>
      <c r="M232" s="48" t="n"/>
      <c r="N232" s="48" t="n"/>
      <c r="O232" s="92" t="n"/>
    </row>
    <row r="233" ht="42" customHeight="1">
      <c r="A233" s="82" t="n">
        <v>228</v>
      </c>
      <c r="B233" s="82" t="inlineStr">
        <is>
          <t>S1–S3</t>
        </is>
      </c>
      <c r="C233" s="82" t="inlineStr">
        <is>
          <t>S3</t>
        </is>
      </c>
      <c r="D233" s="87" t="inlineStr">
        <is>
          <t>資訊科技科</t>
        </is>
      </c>
      <c r="E233" s="88" t="inlineStr">
        <is>
          <t>AI 與數碼素養</t>
        </is>
      </c>
      <c r="F233" s="88" t="inlineStr">
        <is>
          <t>嚴格落實 Q-V-R-E-R：結構化 Prompt（Q），逐行 Code Trace 與測試（V），代碼重構（R），口頭 Code Review 答辯（R）</t>
        </is>
      </c>
      <c r="G233" s="88" t="inlineStr">
        <is>
          <t>Prompt 工程日誌、Code Review 逐行答辯評量單</t>
        </is>
      </c>
      <c r="H233" s="89" t="inlineStr">
        <is>
          <t>未檢視</t>
        </is>
      </c>
      <c r="I233" s="90">
        <f>IF(H233="未出現",0,IF(H233="部分出現",1,IF(H233="穩定出現",2,"")))</f>
        <v/>
      </c>
      <c r="J233" s="87" t="n"/>
      <c r="K233" s="88" t="n"/>
      <c r="L233" s="48" t="n"/>
      <c r="M233" s="48" t="n"/>
      <c r="N233" s="48" t="n"/>
      <c r="O233" s="92" t="n"/>
    </row>
    <row r="234" ht="42" customHeight="1">
      <c r="A234" s="82" t="n">
        <v>229</v>
      </c>
      <c r="B234" s="82" t="inlineStr">
        <is>
          <t>S4–S6</t>
        </is>
      </c>
      <c r="C234" s="82" t="inlineStr">
        <is>
          <t>S4</t>
        </is>
      </c>
      <c r="D234" s="87" t="inlineStr">
        <is>
          <t>資訊科技科</t>
        </is>
      </c>
      <c r="E234" s="88" t="inlineStr">
        <is>
          <t>跨學科閱讀</t>
        </is>
      </c>
      <c r="F234" s="88" t="inlineStr">
        <is>
          <t>研讀系統架構規範、演算法複雜度分析文獻、資安漏洞通報（CVE）與數位倫理隱私法規</t>
        </is>
      </c>
      <c r="G234" s="88" t="inlineStr">
        <is>
          <t>系統架構設計規範書、資安與隱私法規評估報告</t>
        </is>
      </c>
      <c r="H234" s="89" t="inlineStr">
        <is>
          <t>未檢視</t>
        </is>
      </c>
      <c r="I234" s="90">
        <f>IF(H234="未出現",0,IF(H234="部分出現",1,IF(H234="穩定出現",2,"")))</f>
        <v/>
      </c>
      <c r="J234" s="87" t="n"/>
      <c r="K234" s="88" t="n"/>
      <c r="L234" s="48" t="n"/>
      <c r="M234" s="48" t="n"/>
      <c r="N234" s="48" t="n"/>
      <c r="O234" s="92" t="n"/>
    </row>
    <row r="235" ht="42" customHeight="1">
      <c r="A235" s="82" t="n">
        <v>230</v>
      </c>
      <c r="B235" s="82" t="inlineStr">
        <is>
          <t>S4–S6</t>
        </is>
      </c>
      <c r="C235" s="82" t="inlineStr">
        <is>
          <t>S4</t>
        </is>
      </c>
      <c r="D235" s="87" t="inlineStr">
        <is>
          <t>資訊科技科</t>
        </is>
      </c>
      <c r="E235" s="88" t="inlineStr">
        <is>
          <t>證據推理</t>
        </is>
      </c>
      <c r="F235" s="88" t="inlineStr">
        <is>
          <t>針對複雜系統開展形式化驗證，量化分析時間與空間複雜度，以極限壓力測試證明容錯能力</t>
        </is>
      </c>
      <c r="G235" s="88" t="inlineStr">
        <is>
          <t>代碼白盒測試報告、時間複雜度漸進分析作業</t>
        </is>
      </c>
      <c r="H235" s="89" t="inlineStr">
        <is>
          <t>未檢視</t>
        </is>
      </c>
      <c r="I235" s="90">
        <f>IF(H235="未出現",0,IF(H235="部分出現",1,IF(H235="穩定出現",2,"")))</f>
        <v/>
      </c>
      <c r="J235" s="87" t="n"/>
      <c r="K235" s="88" t="n"/>
      <c r="L235" s="48" t="n"/>
      <c r="M235" s="48" t="n"/>
      <c r="N235" s="48" t="n"/>
      <c r="O235" s="92" t="n"/>
    </row>
    <row r="236" ht="42" customHeight="1">
      <c r="A236" s="82" t="n">
        <v>231</v>
      </c>
      <c r="B236" s="82" t="inlineStr">
        <is>
          <t>S4–S6</t>
        </is>
      </c>
      <c r="C236" s="82" t="inlineStr">
        <is>
          <t>S4</t>
        </is>
      </c>
      <c r="D236" s="87" t="inlineStr">
        <is>
          <t>資訊科技科</t>
        </is>
      </c>
      <c r="E236" s="88" t="inlineStr">
        <is>
          <t>解難與建模</t>
        </is>
      </c>
      <c r="F236" s="88" t="inlineStr">
        <is>
          <t>針對校園真實場景開發全端或智慧演算法原型，進行敏捷迭代與自動化部署測試</t>
        </is>
      </c>
      <c r="G236" s="88" t="inlineStr">
        <is>
          <t>全端應用系統原始碼、敏捷衝刺迭代總結報告</t>
        </is>
      </c>
      <c r="H236" s="89" t="inlineStr">
        <is>
          <t>未檢視</t>
        </is>
      </c>
      <c r="I236" s="90">
        <f>IF(H236="未出現",0,IF(H236="部分出現",1,IF(H236="穩定出現",2,"")))</f>
        <v/>
      </c>
      <c r="J236" s="87" t="n"/>
      <c r="K236" s="88" t="n"/>
      <c r="L236" s="48" t="n"/>
      <c r="M236" s="48" t="n"/>
      <c r="N236" s="48" t="n"/>
      <c r="O236" s="92" t="n"/>
    </row>
    <row r="237" ht="42" customHeight="1">
      <c r="A237" s="82" t="n">
        <v>232</v>
      </c>
      <c r="B237" s="82" t="inlineStr">
        <is>
          <t>S4–S6</t>
        </is>
      </c>
      <c r="C237" s="82" t="inlineStr">
        <is>
          <t>S4</t>
        </is>
      </c>
      <c r="D237" s="87" t="inlineStr">
        <is>
          <t>資訊科技科</t>
        </is>
      </c>
      <c r="E237" s="88" t="inlineStr">
        <is>
          <t>AI 與數碼素養</t>
        </is>
      </c>
      <c r="F237" s="88" t="inlineStr">
        <is>
          <t>課堂建立「手寫核心演算法 + 實體口頭答辯」機制，杜絕 Copilot 認知外包；深入審查資安與開源版權</t>
        </is>
      </c>
      <c r="G237" s="88" t="inlineStr">
        <is>
          <t>離線手寫演算法試卷、現場代碼答辯錄影/記錄、資安審計報告</t>
        </is>
      </c>
      <c r="H237" s="89" t="inlineStr">
        <is>
          <t>未檢視</t>
        </is>
      </c>
      <c r="I237" s="90">
        <f>IF(H237="未出現",0,IF(H237="部分出現",1,IF(H237="穩定出現",2,"")))</f>
        <v/>
      </c>
      <c r="J237" s="87" t="n"/>
      <c r="K237" s="88" t="n"/>
      <c r="L237" s="48" t="n"/>
      <c r="M237" s="48" t="n"/>
      <c r="N237" s="48" t="n"/>
      <c r="O237" s="92" t="n"/>
    </row>
    <row r="238" ht="42" customHeight="1">
      <c r="A238" s="82" t="n">
        <v>233</v>
      </c>
      <c r="B238" s="82" t="inlineStr">
        <is>
          <t>S4–S6</t>
        </is>
      </c>
      <c r="C238" s="82" t="inlineStr">
        <is>
          <t>S5</t>
        </is>
      </c>
      <c r="D238" s="87" t="inlineStr">
        <is>
          <t>資訊科技科</t>
        </is>
      </c>
      <c r="E238" s="88" t="inlineStr">
        <is>
          <t>跨學科閱讀</t>
        </is>
      </c>
      <c r="F238" s="88" t="inlineStr">
        <is>
          <t>研讀系統架構規範、演算法複雜度分析文獻、資安漏洞通報（CVE）與數位倫理隱私法規</t>
        </is>
      </c>
      <c r="G238" s="88" t="inlineStr">
        <is>
          <t>系統架構設計規範書、資安與隱私法規評估報告</t>
        </is>
      </c>
      <c r="H238" s="89" t="inlineStr">
        <is>
          <t>未檢視</t>
        </is>
      </c>
      <c r="I238" s="90">
        <f>IF(H238="未出現",0,IF(H238="部分出現",1,IF(H238="穩定出現",2,"")))</f>
        <v/>
      </c>
      <c r="J238" s="87" t="n"/>
      <c r="K238" s="88" t="n"/>
      <c r="L238" s="48" t="n"/>
      <c r="M238" s="48" t="n"/>
      <c r="N238" s="48" t="n"/>
      <c r="O238" s="92" t="n"/>
    </row>
    <row r="239" ht="42" customHeight="1">
      <c r="A239" s="82" t="n">
        <v>234</v>
      </c>
      <c r="B239" s="82" t="inlineStr">
        <is>
          <t>S4–S6</t>
        </is>
      </c>
      <c r="C239" s="82" t="inlineStr">
        <is>
          <t>S5</t>
        </is>
      </c>
      <c r="D239" s="87" t="inlineStr">
        <is>
          <t>資訊科技科</t>
        </is>
      </c>
      <c r="E239" s="88" t="inlineStr">
        <is>
          <t>證據推理</t>
        </is>
      </c>
      <c r="F239" s="88" t="inlineStr">
        <is>
          <t>針對複雜系統開展形式化驗證，量化分析時間與空間複雜度，以極限壓力測試證明容錯能力</t>
        </is>
      </c>
      <c r="G239" s="88" t="inlineStr">
        <is>
          <t>代碼白盒測試報告、時間複雜度漸進分析作業</t>
        </is>
      </c>
      <c r="H239" s="89" t="inlineStr">
        <is>
          <t>未檢視</t>
        </is>
      </c>
      <c r="I239" s="90">
        <f>IF(H239="未出現",0,IF(H239="部分出現",1,IF(H239="穩定出現",2,"")))</f>
        <v/>
      </c>
      <c r="J239" s="87" t="n"/>
      <c r="K239" s="88" t="n"/>
      <c r="L239" s="48" t="n"/>
      <c r="M239" s="48" t="n"/>
      <c r="N239" s="48" t="n"/>
      <c r="O239" s="92" t="n"/>
    </row>
    <row r="240" ht="42" customHeight="1">
      <c r="A240" s="82" t="n">
        <v>235</v>
      </c>
      <c r="B240" s="82" t="inlineStr">
        <is>
          <t>S4–S6</t>
        </is>
      </c>
      <c r="C240" s="82" t="inlineStr">
        <is>
          <t>S5</t>
        </is>
      </c>
      <c r="D240" s="87" t="inlineStr">
        <is>
          <t>資訊科技科</t>
        </is>
      </c>
      <c r="E240" s="88" t="inlineStr">
        <is>
          <t>解難與建模</t>
        </is>
      </c>
      <c r="F240" s="88" t="inlineStr">
        <is>
          <t>針對校園真實場景開發全端或智慧演算法原型，進行敏捷迭代與自動化部署測試</t>
        </is>
      </c>
      <c r="G240" s="88" t="inlineStr">
        <is>
          <t>全端應用系統原始碼、敏捷衝刺迭代總結報告</t>
        </is>
      </c>
      <c r="H240" s="89" t="inlineStr">
        <is>
          <t>未檢視</t>
        </is>
      </c>
      <c r="I240" s="90">
        <f>IF(H240="未出現",0,IF(H240="部分出現",1,IF(H240="穩定出現",2,"")))</f>
        <v/>
      </c>
      <c r="J240" s="87" t="n"/>
      <c r="K240" s="88" t="n"/>
      <c r="L240" s="48" t="n"/>
      <c r="M240" s="48" t="n"/>
      <c r="N240" s="48" t="n"/>
      <c r="O240" s="92" t="n"/>
    </row>
    <row r="241" ht="42" customHeight="1">
      <c r="A241" s="82" t="n">
        <v>236</v>
      </c>
      <c r="B241" s="82" t="inlineStr">
        <is>
          <t>S4–S6</t>
        </is>
      </c>
      <c r="C241" s="82" t="inlineStr">
        <is>
          <t>S5</t>
        </is>
      </c>
      <c r="D241" s="87" t="inlineStr">
        <is>
          <t>資訊科技科</t>
        </is>
      </c>
      <c r="E241" s="88" t="inlineStr">
        <is>
          <t>AI 與數碼素養</t>
        </is>
      </c>
      <c r="F241" s="88" t="inlineStr">
        <is>
          <t>課堂建立「手寫核心演算法 + 實體口頭答辯」機制，杜絕 Copilot 認知外包；深入審查資安與開源版權</t>
        </is>
      </c>
      <c r="G241" s="88" t="inlineStr">
        <is>
          <t>離線手寫演算法試卷、現場代碼答辯錄影/記錄、資安審計報告</t>
        </is>
      </c>
      <c r="H241" s="89" t="inlineStr">
        <is>
          <t>未檢視</t>
        </is>
      </c>
      <c r="I241" s="90">
        <f>IF(H241="未出現",0,IF(H241="部分出現",1,IF(H241="穩定出現",2,"")))</f>
        <v/>
      </c>
      <c r="J241" s="87" t="n"/>
      <c r="K241" s="88" t="n"/>
      <c r="L241" s="48" t="n"/>
      <c r="M241" s="48" t="n"/>
      <c r="N241" s="48" t="n"/>
      <c r="O241" s="92" t="n"/>
    </row>
    <row r="242" ht="42" customHeight="1">
      <c r="A242" s="82" t="n">
        <v>237</v>
      </c>
      <c r="B242" s="82" t="inlineStr">
        <is>
          <t>S4–S6</t>
        </is>
      </c>
      <c r="C242" s="82" t="inlineStr">
        <is>
          <t>S6</t>
        </is>
      </c>
      <c r="D242" s="87" t="inlineStr">
        <is>
          <t>資訊科技科</t>
        </is>
      </c>
      <c r="E242" s="88" t="inlineStr">
        <is>
          <t>跨學科閱讀</t>
        </is>
      </c>
      <c r="F242" s="88" t="inlineStr">
        <is>
          <t>研讀系統架構規範、演算法複雜度分析文獻、資安漏洞通報（CVE）與數位倫理隱私法規</t>
        </is>
      </c>
      <c r="G242" s="88" t="inlineStr">
        <is>
          <t>系統架構設計規範書、資安與隱私法規評估報告</t>
        </is>
      </c>
      <c r="H242" s="89" t="inlineStr">
        <is>
          <t>未檢視</t>
        </is>
      </c>
      <c r="I242" s="90">
        <f>IF(H242="未出現",0,IF(H242="部分出現",1,IF(H242="穩定出現",2,"")))</f>
        <v/>
      </c>
      <c r="J242" s="87" t="n"/>
      <c r="K242" s="88" t="n"/>
      <c r="L242" s="48" t="n"/>
      <c r="M242" s="48" t="n"/>
      <c r="N242" s="48" t="n"/>
      <c r="O242" s="92" t="n"/>
    </row>
    <row r="243" ht="42" customHeight="1">
      <c r="A243" s="82" t="n">
        <v>238</v>
      </c>
      <c r="B243" s="82" t="inlineStr">
        <is>
          <t>S4–S6</t>
        </is>
      </c>
      <c r="C243" s="82" t="inlineStr">
        <is>
          <t>S6</t>
        </is>
      </c>
      <c r="D243" s="87" t="inlineStr">
        <is>
          <t>資訊科技科</t>
        </is>
      </c>
      <c r="E243" s="88" t="inlineStr">
        <is>
          <t>證據推理</t>
        </is>
      </c>
      <c r="F243" s="88" t="inlineStr">
        <is>
          <t>針對複雜系統開展形式化驗證，量化分析時間與空間複雜度，以極限壓力測試證明容錯能力</t>
        </is>
      </c>
      <c r="G243" s="88" t="inlineStr">
        <is>
          <t>代碼白盒測試報告、時間複雜度漸進分析作業</t>
        </is>
      </c>
      <c r="H243" s="89" t="inlineStr">
        <is>
          <t>未檢視</t>
        </is>
      </c>
      <c r="I243" s="90">
        <f>IF(H243="未出現",0,IF(H243="部分出現",1,IF(H243="穩定出現",2,"")))</f>
        <v/>
      </c>
      <c r="J243" s="87" t="n"/>
      <c r="K243" s="88" t="n"/>
      <c r="L243" s="48" t="n"/>
      <c r="M243" s="48" t="n"/>
      <c r="N243" s="48" t="n"/>
      <c r="O243" s="92" t="n"/>
    </row>
    <row r="244" ht="42" customHeight="1">
      <c r="A244" s="82" t="n">
        <v>239</v>
      </c>
      <c r="B244" s="82" t="inlineStr">
        <is>
          <t>S4–S6</t>
        </is>
      </c>
      <c r="C244" s="82" t="inlineStr">
        <is>
          <t>S6</t>
        </is>
      </c>
      <c r="D244" s="87" t="inlineStr">
        <is>
          <t>資訊科技科</t>
        </is>
      </c>
      <c r="E244" s="88" t="inlineStr">
        <is>
          <t>解難與建模</t>
        </is>
      </c>
      <c r="F244" s="88" t="inlineStr">
        <is>
          <t>針對校園真實場景開發全端或智慧演算法原型，進行敏捷迭代與自動化部署測試</t>
        </is>
      </c>
      <c r="G244" s="88" t="inlineStr">
        <is>
          <t>全端應用系統原始碼、敏捷衝刺迭代總結報告</t>
        </is>
      </c>
      <c r="H244" s="89" t="inlineStr">
        <is>
          <t>未檢視</t>
        </is>
      </c>
      <c r="I244" s="90">
        <f>IF(H244="未出現",0,IF(H244="部分出現",1,IF(H244="穩定出現",2,"")))</f>
        <v/>
      </c>
      <c r="J244" s="87" t="n"/>
      <c r="K244" s="88" t="n"/>
      <c r="L244" s="48" t="n"/>
      <c r="M244" s="48" t="n"/>
      <c r="N244" s="48" t="n"/>
      <c r="O244" s="92" t="n"/>
    </row>
    <row r="245" ht="42" customHeight="1">
      <c r="A245" s="82" t="n">
        <v>240</v>
      </c>
      <c r="B245" s="82" t="inlineStr">
        <is>
          <t>S4–S6</t>
        </is>
      </c>
      <c r="C245" s="82" t="inlineStr">
        <is>
          <t>S6</t>
        </is>
      </c>
      <c r="D245" s="87" t="inlineStr">
        <is>
          <t>資訊科技科</t>
        </is>
      </c>
      <c r="E245" s="88" t="inlineStr">
        <is>
          <t>AI 與數碼素養</t>
        </is>
      </c>
      <c r="F245" s="88" t="inlineStr">
        <is>
          <t>課堂建立「手寫核心演算法 + 實體口頭答辯」機制，杜絕 Copilot 認知外包；深入審查資安與開源版權</t>
        </is>
      </c>
      <c r="G245" s="88" t="inlineStr">
        <is>
          <t>離線手寫演算法試卷、現場代碼答辯錄影/記錄、資安審計報告</t>
        </is>
      </c>
      <c r="H245" s="89" t="inlineStr">
        <is>
          <t>未檢視</t>
        </is>
      </c>
      <c r="I245" s="90">
        <f>IF(H245="未出現",0,IF(H245="部分出現",1,IF(H245="穩定出現",2,"")))</f>
        <v/>
      </c>
      <c r="J245" s="87" t="n"/>
      <c r="K245" s="88" t="n"/>
      <c r="L245" s="49" t="n"/>
      <c r="M245" s="49" t="n"/>
      <c r="N245" s="49" t="n"/>
      <c r="O245" s="93" t="n"/>
    </row>
  </sheetData>
  <conditionalFormatting sqref="H6:H245">
    <cfRule type="containsText" priority="1" operator="containsText" dxfId="0" text="未出現"/>
    <cfRule type="containsText" priority="2" operator="containsText" dxfId="1" text="部分出現"/>
    <cfRule type="containsText" priority="3" operator="containsText" dxfId="2" text="穩定出現"/>
  </conditionalFormatting>
  <conditionalFormatting sqref="J6:J245">
    <cfRule type="containsText" priority="4" operator="containsText" dxfId="0" text="高"/>
  </conditionalFormatting>
  <dataValidations count="5">
    <dataValidation sqref="G6:G245" showDropDown="0" showInputMessage="0" showErrorMessage="0" allowBlank="0" type="list">
      <formula1>"課程文件,教學任務,評分準則,學生作品,觀課紀錄,其他"</formula1>
    </dataValidation>
    <dataValidation sqref="H6:H245" showDropDown="0" showInputMessage="0" showErrorMessage="0" allowBlank="0" type="list">
      <formula1>"未檢視,未出現,部分出現,穩定出現"</formula1>
    </dataValidation>
    <dataValidation sqref="J6:J245" showDropDown="0" showInputMessage="0" showErrorMessage="0" allowBlank="0" type="list">
      <formula1>"高,中,低"</formula1>
    </dataValidation>
    <dataValidation sqref="C6:C245" showDropDown="0" showInputMessage="0" showErrorMessage="0" allowBlank="0" type="list">
      <formula1>"P1,P2,P3,P4,P5,P6,S1,S2,S3,S4,S5,S6"</formula1>
    </dataValidation>
    <dataValidation sqref="D6:D245" showDropDown="0" showInputMessage="0" showErrorMessage="0" allowBlank="0" type="list">
      <formula1>"中文,英文,葡文,數學,常識,科學,人文社會,資訊科技,藝術,體育,跨學科,其他"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2D7C69"/>
    <outlinePr summaryBelow="1" summaryRight="1"/>
    <pageSetUpPr/>
  </sheetPr>
  <dimension ref="A1:L12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24" customWidth="1" min="4" max="4"/>
    <col width="14" customWidth="1" min="5" max="5"/>
    <col width="18" customWidth="1" min="6" max="6"/>
    <col width="12" customWidth="1" min="7" max="7"/>
    <col width="24" customWidth="1" min="8" max="8"/>
    <col width="28" customWidth="1" min="9" max="9"/>
    <col width="18" customWidth="1" min="10" max="10"/>
    <col width="26" customWidth="1" min="11" max="11"/>
    <col width="14" customWidth="1" min="12" max="12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評核與學生作品證據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inlineStr">
        <is>
          <t>抽樣記錄評核任務與學生作品，支援共同評閱及課程修訂。</t>
        </is>
      </c>
      <c r="B3" s="2" t="inlineStr">
        <is>
          <t>抽樣記錄評核任務與學生作品，支援共同評閱及課程修訂。</t>
        </is>
      </c>
      <c r="C3" s="2" t="inlineStr">
        <is>
          <t>抽樣記錄評核任務與學生作品，支援共同評閱及課程修訂。</t>
        </is>
      </c>
      <c r="D3" s="2" t="inlineStr">
        <is>
          <t>抽樣記錄評核任務與學生作品，支援共同評閱及課程修訂。</t>
        </is>
      </c>
      <c r="E3" s="2" t="inlineStr">
        <is>
          <t>抽樣記錄評核任務與學生作品，支援共同評閱及課程修訂。</t>
        </is>
      </c>
      <c r="F3" s="2" t="inlineStr">
        <is>
          <t>抽樣記錄評核任務與學生作品，支援共同評閱及課程修訂。</t>
        </is>
      </c>
      <c r="G3" s="2" t="inlineStr">
        <is>
          <t>抽樣記錄評核任務與學生作品，支援共同評閱及課程修訂。</t>
        </is>
      </c>
      <c r="H3" s="2" t="inlineStr">
        <is>
          <t>抽樣記錄評核任務與學生作品，支援共同評閱及課程修訂。</t>
        </is>
      </c>
      <c r="I3" s="2" t="inlineStr">
        <is>
          <t>抽樣記錄評核任務與學生作品，支援共同評閱及課程修訂。</t>
        </is>
      </c>
      <c r="J3" s="2" t="inlineStr">
        <is>
          <t>抽樣記錄評核任務與學生作品，支援共同評閱及課程修訂。</t>
        </is>
      </c>
      <c r="K3" s="2" t="inlineStr">
        <is>
          <t>抽樣記錄評核任務與學生作品，支援共同評閱及課程修訂。</t>
        </is>
      </c>
      <c r="L3" s="2" t="inlineStr">
        <is>
          <t>抽樣記錄評核任務與學生作品，支援共同評閱及課程修訂。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11" t="inlineStr">
        <is>
          <t>記錄編號</t>
        </is>
      </c>
      <c r="B5" s="25" t="inlineStr">
        <is>
          <t>年級</t>
        </is>
      </c>
      <c r="C5" s="25" t="inlineStr">
        <is>
          <t>科組</t>
        </is>
      </c>
      <c r="D5" s="25" t="inlineStr">
        <is>
          <t>單元／任務</t>
        </is>
      </c>
      <c r="E5" s="25" t="inlineStr">
        <is>
          <t>作品代碼</t>
        </is>
      </c>
      <c r="F5" s="25" t="inlineStr">
        <is>
          <t>證據重點</t>
        </is>
      </c>
      <c r="G5" s="25" t="inlineStr">
        <is>
          <t>表現水平</t>
        </is>
      </c>
      <c r="H5" s="25" t="inlineStr">
        <is>
          <t>AI 使用方式</t>
        </is>
      </c>
      <c r="I5" s="25" t="inlineStr">
        <is>
          <t>驗證證據</t>
        </is>
      </c>
      <c r="J5" s="25" t="inlineStr">
        <is>
          <t>共同評閱狀態</t>
        </is>
      </c>
      <c r="K5" s="25" t="inlineStr">
        <is>
          <t>後續行動</t>
        </is>
      </c>
      <c r="L5" s="12" t="inlineStr">
        <is>
          <t>檢視日期</t>
        </is>
      </c>
    </row>
    <row r="6" ht="36" customHeight="1">
      <c r="A6" s="82" t="n">
        <v>1</v>
      </c>
      <c r="B6" s="87" t="inlineStr">
        <is>
          <t>S2</t>
        </is>
      </c>
      <c r="C6" s="87" t="inlineStr">
        <is>
          <t>中文科</t>
        </is>
      </c>
      <c r="D6" s="88" t="inlineStr">
        <is>
          <t>單元四：多元觀點評議「校園手機管理」</t>
        </is>
      </c>
      <c r="E6" s="87" t="inlineStr">
        <is>
          <t>CHI-S2-01</t>
        </is>
      </c>
      <c r="F6" s="88" t="inlineStr">
        <is>
          <t>非連續性文本批注與相左立場論述稿</t>
        </is>
      </c>
      <c r="G6" s="87" t="inlineStr">
        <is>
          <t>水平 2（達標）</t>
        </is>
      </c>
      <c r="H6" s="88" t="inlineStr">
        <is>
          <t>僅限對話激發反方論點，禁止全文代寫</t>
        </is>
      </c>
      <c r="I6" s="88" t="inlineStr">
        <is>
          <t>附 Prompt 提問日誌與離線手寫初稿</t>
        </is>
      </c>
      <c r="J6" s="87" t="inlineStr">
        <is>
          <t>已完成</t>
        </is>
      </c>
      <c r="K6" s="88" t="inlineStr">
        <is>
          <t>列為初二常規評量範例</t>
        </is>
      </c>
      <c r="L6" s="91" t="n"/>
    </row>
    <row r="7" ht="36" customHeight="1">
      <c r="A7" s="82" t="n">
        <v>2</v>
      </c>
      <c r="B7" s="87" t="inlineStr">
        <is>
          <t>S3</t>
        </is>
      </c>
      <c r="C7" s="87" t="inlineStr">
        <is>
          <t>英文科</t>
        </is>
      </c>
      <c r="D7" s="88" t="inlineStr">
        <is>
          <t>Unit 3: Authentic Climate Policy Synthesis</t>
        </is>
      </c>
      <c r="E7" s="87" t="inlineStr">
        <is>
          <t>ENG-S3-01</t>
        </is>
      </c>
      <c r="F7" s="88" t="inlineStr">
        <is>
          <t>CER argument essay &amp; annotated bibliography</t>
        </is>
      </c>
      <c r="G7" s="87" t="inlineStr">
        <is>
          <t>水平 2（達標）</t>
        </is>
      </c>
      <c r="H7" s="88" t="inlineStr">
        <is>
          <t>Strictly vocabulary &amp; collocation check only</t>
        </is>
      </c>
      <c r="I7" s="88" t="inlineStr">
        <is>
          <t>Submitted corpus verification sheet &amp; draft</t>
        </is>
      </c>
      <c r="J7" s="87" t="inlineStr">
        <is>
          <t>已完成</t>
        </is>
      </c>
      <c r="K7" s="88" t="inlineStr">
        <is>
          <t>Standardized as term writing task</t>
        </is>
      </c>
      <c r="L7" s="92" t="n"/>
    </row>
    <row r="8" ht="36" customHeight="1">
      <c r="A8" s="82" t="n">
        <v>3</v>
      </c>
      <c r="B8" s="87" t="inlineStr">
        <is>
          <t>S1</t>
        </is>
      </c>
      <c r="C8" s="87" t="inlineStr">
        <is>
          <t>數學科</t>
        </is>
      </c>
      <c r="D8" s="88" t="inlineStr">
        <is>
          <t>單元五：生活建模「家庭階梯電價與光伏最優化」</t>
        </is>
      </c>
      <c r="E8" s="87" t="inlineStr">
        <is>
          <t>MAT-S1-01</t>
        </is>
      </c>
      <c r="F8" s="88" t="inlineStr">
        <is>
          <t>長情境題幹解構示意圖與代數方程組</t>
        </is>
      </c>
      <c r="G8" s="87" t="inlineStr">
        <is>
          <t>水平 2（達標）</t>
        </is>
      </c>
      <c r="H8" s="88" t="inlineStr">
        <is>
          <t>Prompt 要求 AI 給出三種解法並驗算揪錯</t>
        </is>
      </c>
      <c r="I8" s="88" t="inlineStr">
        <is>
          <t>學生手繪未知數模型圖與 AI 算理除錯卡</t>
        </is>
      </c>
      <c r="J8" s="87" t="inlineStr">
        <is>
          <t>已完成</t>
        </is>
      </c>
      <c r="K8" s="88" t="inlineStr">
        <is>
          <t>納入初一校本建模精選題庫</t>
        </is>
      </c>
      <c r="L8" s="92" t="n"/>
    </row>
    <row r="9" ht="36" customHeight="1">
      <c r="A9" s="82" t="n">
        <v>4</v>
      </c>
      <c r="B9" s="87" t="inlineStr">
        <is>
          <t>S2</t>
        </is>
      </c>
      <c r="C9" s="87" t="inlineStr">
        <is>
          <t>科學科</t>
        </is>
      </c>
      <c r="D9" s="88" t="inlineStr">
        <is>
          <t>單元三：熱學探究「保溫材料導熱性實測」</t>
        </is>
      </c>
      <c r="E9" s="87" t="inlineStr">
        <is>
          <t>SCI-S2-01</t>
        </is>
      </c>
      <c r="F9" s="88" t="inlineStr">
        <is>
          <t>實驗報告與實測數據表（CER 科學論證）</t>
        </is>
      </c>
      <c r="G9" s="87" t="inlineStr">
        <is>
          <t>水平 2（達標）</t>
        </is>
      </c>
      <c r="H9" s="88" t="inlineStr">
        <is>
          <t>實驗台嚴格無裝置；數據分析對照 AI 理論值</t>
        </is>
      </c>
      <c r="I9" s="88" t="inlineStr">
        <is>
          <t>原始傳感器日誌、誤差分析口頭答辯單</t>
        </is>
      </c>
      <c r="J9" s="87" t="inlineStr">
        <is>
          <t>已完成</t>
        </is>
      </c>
      <c r="K9" s="88" t="inlineStr">
        <is>
          <t>落實實驗防分心常態守則</t>
        </is>
      </c>
      <c r="L9" s="92" t="n"/>
    </row>
    <row r="10" ht="36" customHeight="1">
      <c r="A10" s="82" t="n">
        <v>5</v>
      </c>
      <c r="B10" s="87" t="inlineStr">
        <is>
          <t>S3</t>
        </is>
      </c>
      <c r="C10" s="87" t="inlineStr">
        <is>
          <t>資訊科技科</t>
        </is>
      </c>
      <c r="D10" s="88" t="inlineStr">
        <is>
          <t>專案二：微型校園圖書檢索系統模組重構</t>
        </is>
      </c>
      <c r="E10" s="87" t="inlineStr">
        <is>
          <t>ICT-S3-01</t>
        </is>
      </c>
      <c r="F10" s="88" t="inlineStr">
        <is>
          <t>Python 模組化代碼與白盒測試用例</t>
        </is>
      </c>
      <c r="G10" s="87" t="inlineStr">
        <is>
          <t>水平 3（精熟）</t>
        </is>
      </c>
      <c r="H10" s="88" t="inlineStr">
        <is>
          <t>AI 輔助生成基礎代碼框架（Q-V-R-E-R）</t>
        </is>
      </c>
      <c r="I10" s="88" t="inlineStr">
        <is>
          <t>逐行代碼 Trace 筆記與課堂口頭 Code Review</t>
        </is>
      </c>
      <c r="J10" s="87" t="inlineStr">
        <is>
          <t>已完成</t>
        </is>
      </c>
      <c r="K10" s="88" t="inlineStr">
        <is>
          <t>推廣為初三期末專案標準規範</t>
        </is>
      </c>
      <c r="L10" s="92" t="n"/>
    </row>
    <row r="11" ht="36" customHeight="1">
      <c r="A11" s="45" t="n">
        <v>6</v>
      </c>
      <c r="B11" s="48" t="str"/>
      <c r="C11" s="48" t="str"/>
      <c r="D11" s="48" t="str"/>
      <c r="E11" s="48" t="str"/>
      <c r="F11" s="48" t="str"/>
      <c r="G11" s="48" t="str"/>
      <c r="H11" s="48" t="str"/>
      <c r="I11" s="48" t="str"/>
      <c r="J11" s="48" t="inlineStr">
        <is>
          <t>未開始</t>
        </is>
      </c>
      <c r="K11" s="48" t="str"/>
      <c r="L11" s="92" t="n"/>
    </row>
    <row r="12" ht="36" customHeight="1">
      <c r="A12" s="45" t="n">
        <v>7</v>
      </c>
      <c r="B12" s="48" t="str"/>
      <c r="C12" s="48" t="str"/>
      <c r="D12" s="48" t="str"/>
      <c r="E12" s="48" t="str"/>
      <c r="F12" s="48" t="str"/>
      <c r="G12" s="48" t="str"/>
      <c r="H12" s="48" t="str"/>
      <c r="I12" s="48" t="str"/>
      <c r="J12" s="48" t="inlineStr">
        <is>
          <t>未開始</t>
        </is>
      </c>
      <c r="K12" s="48" t="str"/>
      <c r="L12" s="92" t="n"/>
    </row>
    <row r="13" ht="36" customHeight="1">
      <c r="A13" s="45" t="n">
        <v>8</v>
      </c>
      <c r="B13" s="48" t="str"/>
      <c r="C13" s="48" t="str"/>
      <c r="D13" s="48" t="str"/>
      <c r="E13" s="48" t="str"/>
      <c r="F13" s="48" t="str"/>
      <c r="G13" s="48" t="str"/>
      <c r="H13" s="48" t="str"/>
      <c r="I13" s="48" t="str"/>
      <c r="J13" s="48" t="inlineStr">
        <is>
          <t>未開始</t>
        </is>
      </c>
      <c r="K13" s="48" t="str"/>
      <c r="L13" s="92" t="n"/>
    </row>
    <row r="14" ht="36" customHeight="1">
      <c r="A14" s="45" t="n">
        <v>9</v>
      </c>
      <c r="B14" s="48" t="str"/>
      <c r="C14" s="48" t="str"/>
      <c r="D14" s="48" t="str"/>
      <c r="E14" s="48" t="str"/>
      <c r="F14" s="48" t="str"/>
      <c r="G14" s="48" t="str"/>
      <c r="H14" s="48" t="str"/>
      <c r="I14" s="48" t="str"/>
      <c r="J14" s="48" t="inlineStr">
        <is>
          <t>未開始</t>
        </is>
      </c>
      <c r="K14" s="48" t="str"/>
      <c r="L14" s="92" t="n"/>
    </row>
    <row r="15" ht="36" customHeight="1">
      <c r="A15" s="45" t="n">
        <v>10</v>
      </c>
      <c r="B15" s="48" t="str"/>
      <c r="C15" s="48" t="str"/>
      <c r="D15" s="48" t="str"/>
      <c r="E15" s="48" t="str"/>
      <c r="F15" s="48" t="str"/>
      <c r="G15" s="48" t="str"/>
      <c r="H15" s="48" t="str"/>
      <c r="I15" s="48" t="str"/>
      <c r="J15" s="48" t="inlineStr">
        <is>
          <t>未開始</t>
        </is>
      </c>
      <c r="K15" s="48" t="str"/>
      <c r="L15" s="92" t="n"/>
    </row>
    <row r="16" ht="36" customHeight="1">
      <c r="A16" s="45" t="n">
        <v>11</v>
      </c>
      <c r="B16" s="48" t="str"/>
      <c r="C16" s="48" t="str"/>
      <c r="D16" s="48" t="str"/>
      <c r="E16" s="48" t="str"/>
      <c r="F16" s="48" t="str"/>
      <c r="G16" s="48" t="str"/>
      <c r="H16" s="48" t="str"/>
      <c r="I16" s="48" t="str"/>
      <c r="J16" s="48" t="inlineStr">
        <is>
          <t>未開始</t>
        </is>
      </c>
      <c r="K16" s="48" t="str"/>
      <c r="L16" s="92" t="n"/>
    </row>
    <row r="17" ht="36" customHeight="1">
      <c r="A17" s="45" t="n">
        <v>12</v>
      </c>
      <c r="B17" s="48" t="str"/>
      <c r="C17" s="48" t="str"/>
      <c r="D17" s="48" t="str"/>
      <c r="E17" s="48" t="str"/>
      <c r="F17" s="48" t="str"/>
      <c r="G17" s="48" t="str"/>
      <c r="H17" s="48" t="str"/>
      <c r="I17" s="48" t="str"/>
      <c r="J17" s="48" t="inlineStr">
        <is>
          <t>未開始</t>
        </is>
      </c>
      <c r="K17" s="48" t="str"/>
      <c r="L17" s="92" t="n"/>
    </row>
    <row r="18" ht="36" customHeight="1">
      <c r="A18" s="45" t="n">
        <v>13</v>
      </c>
      <c r="B18" s="48" t="str"/>
      <c r="C18" s="48" t="str"/>
      <c r="D18" s="48" t="str"/>
      <c r="E18" s="48" t="str"/>
      <c r="F18" s="48" t="str"/>
      <c r="G18" s="48" t="str"/>
      <c r="H18" s="48" t="str"/>
      <c r="I18" s="48" t="str"/>
      <c r="J18" s="48" t="inlineStr">
        <is>
          <t>未開始</t>
        </is>
      </c>
      <c r="K18" s="48" t="str"/>
      <c r="L18" s="92" t="n"/>
    </row>
    <row r="19" ht="36" customHeight="1">
      <c r="A19" s="45" t="n">
        <v>14</v>
      </c>
      <c r="B19" s="48" t="str"/>
      <c r="C19" s="48" t="str"/>
      <c r="D19" s="48" t="str"/>
      <c r="E19" s="48" t="str"/>
      <c r="F19" s="48" t="str"/>
      <c r="G19" s="48" t="str"/>
      <c r="H19" s="48" t="str"/>
      <c r="I19" s="48" t="str"/>
      <c r="J19" s="48" t="inlineStr">
        <is>
          <t>未開始</t>
        </is>
      </c>
      <c r="K19" s="48" t="str"/>
      <c r="L19" s="92" t="n"/>
    </row>
    <row r="20" ht="36" customHeight="1">
      <c r="A20" s="45" t="n">
        <v>15</v>
      </c>
      <c r="B20" s="48" t="str"/>
      <c r="C20" s="48" t="str"/>
      <c r="D20" s="48" t="str"/>
      <c r="E20" s="48" t="str"/>
      <c r="F20" s="48" t="str"/>
      <c r="G20" s="48" t="str"/>
      <c r="H20" s="48" t="str"/>
      <c r="I20" s="48" t="str"/>
      <c r="J20" s="48" t="inlineStr">
        <is>
          <t>未開始</t>
        </is>
      </c>
      <c r="K20" s="48" t="str"/>
      <c r="L20" s="92" t="n"/>
    </row>
    <row r="21" ht="36" customHeight="1">
      <c r="A21" s="45" t="n">
        <v>16</v>
      </c>
      <c r="B21" s="48" t="str"/>
      <c r="C21" s="48" t="str"/>
      <c r="D21" s="48" t="str"/>
      <c r="E21" s="48" t="str"/>
      <c r="F21" s="48" t="str"/>
      <c r="G21" s="48" t="str"/>
      <c r="H21" s="48" t="str"/>
      <c r="I21" s="48" t="str"/>
      <c r="J21" s="48" t="inlineStr">
        <is>
          <t>未開始</t>
        </is>
      </c>
      <c r="K21" s="48" t="str"/>
      <c r="L21" s="92" t="n"/>
    </row>
    <row r="22" ht="36" customHeight="1">
      <c r="A22" s="45" t="n">
        <v>17</v>
      </c>
      <c r="B22" s="48" t="str"/>
      <c r="C22" s="48" t="str"/>
      <c r="D22" s="48" t="str"/>
      <c r="E22" s="48" t="str"/>
      <c r="F22" s="48" t="str"/>
      <c r="G22" s="48" t="str"/>
      <c r="H22" s="48" t="str"/>
      <c r="I22" s="48" t="str"/>
      <c r="J22" s="48" t="inlineStr">
        <is>
          <t>未開始</t>
        </is>
      </c>
      <c r="K22" s="48" t="str"/>
      <c r="L22" s="92" t="n"/>
    </row>
    <row r="23" ht="36" customHeight="1">
      <c r="A23" s="45" t="n">
        <v>18</v>
      </c>
      <c r="B23" s="48" t="str"/>
      <c r="C23" s="48" t="str"/>
      <c r="D23" s="48" t="str"/>
      <c r="E23" s="48" t="str"/>
      <c r="F23" s="48" t="str"/>
      <c r="G23" s="48" t="str"/>
      <c r="H23" s="48" t="str"/>
      <c r="I23" s="48" t="str"/>
      <c r="J23" s="48" t="inlineStr">
        <is>
          <t>未開始</t>
        </is>
      </c>
      <c r="K23" s="48" t="str"/>
      <c r="L23" s="92" t="n"/>
    </row>
    <row r="24" ht="36" customHeight="1">
      <c r="A24" s="45" t="n">
        <v>19</v>
      </c>
      <c r="B24" s="48" t="str"/>
      <c r="C24" s="48" t="str"/>
      <c r="D24" s="48" t="str"/>
      <c r="E24" s="48" t="str"/>
      <c r="F24" s="48" t="str"/>
      <c r="G24" s="48" t="str"/>
      <c r="H24" s="48" t="str"/>
      <c r="I24" s="48" t="str"/>
      <c r="J24" s="48" t="inlineStr">
        <is>
          <t>未開始</t>
        </is>
      </c>
      <c r="K24" s="48" t="str"/>
      <c r="L24" s="92" t="n"/>
    </row>
    <row r="25" ht="36" customHeight="1">
      <c r="A25" s="45" t="n">
        <v>20</v>
      </c>
      <c r="B25" s="48" t="str"/>
      <c r="C25" s="48" t="str"/>
      <c r="D25" s="48" t="str"/>
      <c r="E25" s="48" t="str"/>
      <c r="F25" s="48" t="str"/>
      <c r="G25" s="48" t="str"/>
      <c r="H25" s="48" t="str"/>
      <c r="I25" s="48" t="str"/>
      <c r="J25" s="48" t="inlineStr">
        <is>
          <t>未開始</t>
        </is>
      </c>
      <c r="K25" s="48" t="str"/>
      <c r="L25" s="92" t="n"/>
    </row>
    <row r="26" ht="36" customHeight="1">
      <c r="A26" s="45" t="n">
        <v>21</v>
      </c>
      <c r="B26" s="48" t="str"/>
      <c r="C26" s="48" t="str"/>
      <c r="D26" s="48" t="str"/>
      <c r="E26" s="48" t="str"/>
      <c r="F26" s="48" t="str"/>
      <c r="G26" s="48" t="str"/>
      <c r="H26" s="48" t="str"/>
      <c r="I26" s="48" t="str"/>
      <c r="J26" s="48" t="inlineStr">
        <is>
          <t>未開始</t>
        </is>
      </c>
      <c r="K26" s="48" t="str"/>
      <c r="L26" s="92" t="n"/>
    </row>
    <row r="27" ht="36" customHeight="1">
      <c r="A27" s="45" t="n">
        <v>22</v>
      </c>
      <c r="B27" s="48" t="str"/>
      <c r="C27" s="48" t="str"/>
      <c r="D27" s="48" t="str"/>
      <c r="E27" s="48" t="str"/>
      <c r="F27" s="48" t="str"/>
      <c r="G27" s="48" t="str"/>
      <c r="H27" s="48" t="str"/>
      <c r="I27" s="48" t="str"/>
      <c r="J27" s="48" t="inlineStr">
        <is>
          <t>未開始</t>
        </is>
      </c>
      <c r="K27" s="48" t="str"/>
      <c r="L27" s="92" t="n"/>
    </row>
    <row r="28" ht="36" customHeight="1">
      <c r="A28" s="45" t="n">
        <v>23</v>
      </c>
      <c r="B28" s="48" t="str"/>
      <c r="C28" s="48" t="str"/>
      <c r="D28" s="48" t="str"/>
      <c r="E28" s="48" t="str"/>
      <c r="F28" s="48" t="str"/>
      <c r="G28" s="48" t="str"/>
      <c r="H28" s="48" t="str"/>
      <c r="I28" s="48" t="str"/>
      <c r="J28" s="48" t="inlineStr">
        <is>
          <t>未開始</t>
        </is>
      </c>
      <c r="K28" s="48" t="str"/>
      <c r="L28" s="92" t="n"/>
    </row>
    <row r="29" ht="36" customHeight="1">
      <c r="A29" s="45" t="n">
        <v>24</v>
      </c>
      <c r="B29" s="48" t="str"/>
      <c r="C29" s="48" t="str"/>
      <c r="D29" s="48" t="str"/>
      <c r="E29" s="48" t="str"/>
      <c r="F29" s="48" t="str"/>
      <c r="G29" s="48" t="str"/>
      <c r="H29" s="48" t="str"/>
      <c r="I29" s="48" t="str"/>
      <c r="J29" s="48" t="inlineStr">
        <is>
          <t>未開始</t>
        </is>
      </c>
      <c r="K29" s="48" t="str"/>
      <c r="L29" s="92" t="n"/>
    </row>
    <row r="30" ht="36" customHeight="1">
      <c r="A30" s="45" t="n">
        <v>25</v>
      </c>
      <c r="B30" s="48" t="str"/>
      <c r="C30" s="48" t="str"/>
      <c r="D30" s="48" t="str"/>
      <c r="E30" s="48" t="str"/>
      <c r="F30" s="48" t="str"/>
      <c r="G30" s="48" t="str"/>
      <c r="H30" s="48" t="str"/>
      <c r="I30" s="48" t="str"/>
      <c r="J30" s="48" t="inlineStr">
        <is>
          <t>未開始</t>
        </is>
      </c>
      <c r="K30" s="48" t="str"/>
      <c r="L30" s="92" t="n"/>
    </row>
    <row r="31" ht="36" customHeight="1">
      <c r="A31" s="45" t="n">
        <v>26</v>
      </c>
      <c r="B31" s="48" t="str"/>
      <c r="C31" s="48" t="str"/>
      <c r="D31" s="48" t="str"/>
      <c r="E31" s="48" t="str"/>
      <c r="F31" s="48" t="str"/>
      <c r="G31" s="48" t="str"/>
      <c r="H31" s="48" t="str"/>
      <c r="I31" s="48" t="str"/>
      <c r="J31" s="48" t="inlineStr">
        <is>
          <t>未開始</t>
        </is>
      </c>
      <c r="K31" s="48" t="str"/>
      <c r="L31" s="92" t="n"/>
    </row>
    <row r="32" ht="36" customHeight="1">
      <c r="A32" s="45" t="n">
        <v>27</v>
      </c>
      <c r="B32" s="48" t="str"/>
      <c r="C32" s="48" t="str"/>
      <c r="D32" s="48" t="str"/>
      <c r="E32" s="48" t="str"/>
      <c r="F32" s="48" t="str"/>
      <c r="G32" s="48" t="str"/>
      <c r="H32" s="48" t="str"/>
      <c r="I32" s="48" t="str"/>
      <c r="J32" s="48" t="inlineStr">
        <is>
          <t>未開始</t>
        </is>
      </c>
      <c r="K32" s="48" t="str"/>
      <c r="L32" s="92" t="n"/>
    </row>
    <row r="33" ht="36" customHeight="1">
      <c r="A33" s="45" t="n">
        <v>28</v>
      </c>
      <c r="B33" s="48" t="str"/>
      <c r="C33" s="48" t="str"/>
      <c r="D33" s="48" t="str"/>
      <c r="E33" s="48" t="str"/>
      <c r="F33" s="48" t="str"/>
      <c r="G33" s="48" t="str"/>
      <c r="H33" s="48" t="str"/>
      <c r="I33" s="48" t="str"/>
      <c r="J33" s="48" t="inlineStr">
        <is>
          <t>未開始</t>
        </is>
      </c>
      <c r="K33" s="48" t="str"/>
      <c r="L33" s="92" t="n"/>
    </row>
    <row r="34" ht="36" customHeight="1">
      <c r="A34" s="45" t="n">
        <v>29</v>
      </c>
      <c r="B34" s="48" t="str"/>
      <c r="C34" s="48" t="str"/>
      <c r="D34" s="48" t="str"/>
      <c r="E34" s="48" t="str"/>
      <c r="F34" s="48" t="str"/>
      <c r="G34" s="48" t="str"/>
      <c r="H34" s="48" t="str"/>
      <c r="I34" s="48" t="str"/>
      <c r="J34" s="48" t="inlineStr">
        <is>
          <t>未開始</t>
        </is>
      </c>
      <c r="K34" s="48" t="str"/>
      <c r="L34" s="92" t="n"/>
    </row>
    <row r="35" ht="36" customHeight="1">
      <c r="A35" s="45" t="n">
        <v>30</v>
      </c>
      <c r="B35" s="48" t="str"/>
      <c r="C35" s="48" t="str"/>
      <c r="D35" s="48" t="str"/>
      <c r="E35" s="48" t="str"/>
      <c r="F35" s="48" t="str"/>
      <c r="G35" s="48" t="str"/>
      <c r="H35" s="48" t="str"/>
      <c r="I35" s="48" t="str"/>
      <c r="J35" s="48" t="inlineStr">
        <is>
          <t>未開始</t>
        </is>
      </c>
      <c r="K35" s="48" t="str"/>
      <c r="L35" s="92" t="n"/>
    </row>
    <row r="36" ht="36" customHeight="1">
      <c r="A36" s="45" t="n">
        <v>31</v>
      </c>
      <c r="B36" s="48" t="str"/>
      <c r="C36" s="48" t="str"/>
      <c r="D36" s="48" t="str"/>
      <c r="E36" s="48" t="str"/>
      <c r="F36" s="48" t="str"/>
      <c r="G36" s="48" t="str"/>
      <c r="H36" s="48" t="str"/>
      <c r="I36" s="48" t="str"/>
      <c r="J36" s="48" t="inlineStr">
        <is>
          <t>未開始</t>
        </is>
      </c>
      <c r="K36" s="48" t="str"/>
      <c r="L36" s="92" t="n"/>
    </row>
    <row r="37" ht="36" customHeight="1">
      <c r="A37" s="45" t="n">
        <v>32</v>
      </c>
      <c r="B37" s="48" t="str"/>
      <c r="C37" s="48" t="str"/>
      <c r="D37" s="48" t="str"/>
      <c r="E37" s="48" t="str"/>
      <c r="F37" s="48" t="str"/>
      <c r="G37" s="48" t="str"/>
      <c r="H37" s="48" t="str"/>
      <c r="I37" s="48" t="str"/>
      <c r="J37" s="48" t="inlineStr">
        <is>
          <t>未開始</t>
        </is>
      </c>
      <c r="K37" s="48" t="str"/>
      <c r="L37" s="92" t="n"/>
    </row>
    <row r="38" ht="36" customHeight="1">
      <c r="A38" s="45" t="n">
        <v>33</v>
      </c>
      <c r="B38" s="48" t="str"/>
      <c r="C38" s="48" t="str"/>
      <c r="D38" s="48" t="str"/>
      <c r="E38" s="48" t="str"/>
      <c r="F38" s="48" t="str"/>
      <c r="G38" s="48" t="str"/>
      <c r="H38" s="48" t="str"/>
      <c r="I38" s="48" t="str"/>
      <c r="J38" s="48" t="inlineStr">
        <is>
          <t>未開始</t>
        </is>
      </c>
      <c r="K38" s="48" t="str"/>
      <c r="L38" s="92" t="n"/>
    </row>
    <row r="39" ht="36" customHeight="1">
      <c r="A39" s="45" t="n">
        <v>34</v>
      </c>
      <c r="B39" s="48" t="str"/>
      <c r="C39" s="48" t="str"/>
      <c r="D39" s="48" t="str"/>
      <c r="E39" s="48" t="str"/>
      <c r="F39" s="48" t="str"/>
      <c r="G39" s="48" t="str"/>
      <c r="H39" s="48" t="str"/>
      <c r="I39" s="48" t="str"/>
      <c r="J39" s="48" t="inlineStr">
        <is>
          <t>未開始</t>
        </is>
      </c>
      <c r="K39" s="48" t="str"/>
      <c r="L39" s="92" t="n"/>
    </row>
    <row r="40" ht="36" customHeight="1">
      <c r="A40" s="45" t="n">
        <v>35</v>
      </c>
      <c r="B40" s="48" t="str"/>
      <c r="C40" s="48" t="str"/>
      <c r="D40" s="48" t="str"/>
      <c r="E40" s="48" t="str"/>
      <c r="F40" s="48" t="str"/>
      <c r="G40" s="48" t="str"/>
      <c r="H40" s="48" t="str"/>
      <c r="I40" s="48" t="str"/>
      <c r="J40" s="48" t="inlineStr">
        <is>
          <t>未開始</t>
        </is>
      </c>
      <c r="K40" s="48" t="str"/>
      <c r="L40" s="92" t="n"/>
    </row>
    <row r="41" ht="36" customHeight="1">
      <c r="A41" s="45" t="n">
        <v>36</v>
      </c>
      <c r="B41" s="48" t="str"/>
      <c r="C41" s="48" t="str"/>
      <c r="D41" s="48" t="str"/>
      <c r="E41" s="48" t="str"/>
      <c r="F41" s="48" t="str"/>
      <c r="G41" s="48" t="str"/>
      <c r="H41" s="48" t="str"/>
      <c r="I41" s="48" t="str"/>
      <c r="J41" s="48" t="inlineStr">
        <is>
          <t>未開始</t>
        </is>
      </c>
      <c r="K41" s="48" t="str"/>
      <c r="L41" s="92" t="n"/>
    </row>
    <row r="42" ht="36" customHeight="1">
      <c r="A42" s="45" t="n">
        <v>37</v>
      </c>
      <c r="B42" s="48" t="str"/>
      <c r="C42" s="48" t="str"/>
      <c r="D42" s="48" t="str"/>
      <c r="E42" s="48" t="str"/>
      <c r="F42" s="48" t="str"/>
      <c r="G42" s="48" t="str"/>
      <c r="H42" s="48" t="str"/>
      <c r="I42" s="48" t="str"/>
      <c r="J42" s="48" t="inlineStr">
        <is>
          <t>未開始</t>
        </is>
      </c>
      <c r="K42" s="48" t="str"/>
      <c r="L42" s="92" t="n"/>
    </row>
    <row r="43" ht="36" customHeight="1">
      <c r="A43" s="45" t="n">
        <v>38</v>
      </c>
      <c r="B43" s="48" t="str"/>
      <c r="C43" s="48" t="str"/>
      <c r="D43" s="48" t="str"/>
      <c r="E43" s="48" t="str"/>
      <c r="F43" s="48" t="str"/>
      <c r="G43" s="48" t="str"/>
      <c r="H43" s="48" t="str"/>
      <c r="I43" s="48" t="str"/>
      <c r="J43" s="48" t="inlineStr">
        <is>
          <t>未開始</t>
        </is>
      </c>
      <c r="K43" s="48" t="str"/>
      <c r="L43" s="92" t="n"/>
    </row>
    <row r="44" ht="36" customHeight="1">
      <c r="A44" s="45" t="n">
        <v>39</v>
      </c>
      <c r="B44" s="48" t="str"/>
      <c r="C44" s="48" t="str"/>
      <c r="D44" s="48" t="str"/>
      <c r="E44" s="48" t="str"/>
      <c r="F44" s="48" t="str"/>
      <c r="G44" s="48" t="str"/>
      <c r="H44" s="48" t="str"/>
      <c r="I44" s="48" t="str"/>
      <c r="J44" s="48" t="inlineStr">
        <is>
          <t>未開始</t>
        </is>
      </c>
      <c r="K44" s="48" t="str"/>
      <c r="L44" s="92" t="n"/>
    </row>
    <row r="45" ht="36" customHeight="1">
      <c r="A45" s="45" t="n">
        <v>40</v>
      </c>
      <c r="B45" s="48" t="str"/>
      <c r="C45" s="48" t="str"/>
      <c r="D45" s="48" t="str"/>
      <c r="E45" s="48" t="str"/>
      <c r="F45" s="48" t="str"/>
      <c r="G45" s="48" t="str"/>
      <c r="H45" s="48" t="str"/>
      <c r="I45" s="48" t="str"/>
      <c r="J45" s="48" t="inlineStr">
        <is>
          <t>未開始</t>
        </is>
      </c>
      <c r="K45" s="48" t="str"/>
      <c r="L45" s="92" t="n"/>
    </row>
    <row r="46" ht="36" customHeight="1">
      <c r="A46" s="45" t="n">
        <v>41</v>
      </c>
      <c r="B46" s="48" t="str"/>
      <c r="C46" s="48" t="str"/>
      <c r="D46" s="48" t="str"/>
      <c r="E46" s="48" t="str"/>
      <c r="F46" s="48" t="str"/>
      <c r="G46" s="48" t="str"/>
      <c r="H46" s="48" t="str"/>
      <c r="I46" s="48" t="str"/>
      <c r="J46" s="48" t="inlineStr">
        <is>
          <t>未開始</t>
        </is>
      </c>
      <c r="K46" s="48" t="str"/>
      <c r="L46" s="92" t="n"/>
    </row>
    <row r="47" ht="36" customHeight="1">
      <c r="A47" s="45" t="n">
        <v>42</v>
      </c>
      <c r="B47" s="48" t="str"/>
      <c r="C47" s="48" t="str"/>
      <c r="D47" s="48" t="str"/>
      <c r="E47" s="48" t="str"/>
      <c r="F47" s="48" t="str"/>
      <c r="G47" s="48" t="str"/>
      <c r="H47" s="48" t="str"/>
      <c r="I47" s="48" t="str"/>
      <c r="J47" s="48" t="inlineStr">
        <is>
          <t>未開始</t>
        </is>
      </c>
      <c r="K47" s="48" t="str"/>
      <c r="L47" s="92" t="n"/>
    </row>
    <row r="48" ht="36" customHeight="1">
      <c r="A48" s="45" t="n">
        <v>43</v>
      </c>
      <c r="B48" s="48" t="str"/>
      <c r="C48" s="48" t="str"/>
      <c r="D48" s="48" t="str"/>
      <c r="E48" s="48" t="str"/>
      <c r="F48" s="48" t="str"/>
      <c r="G48" s="48" t="str"/>
      <c r="H48" s="48" t="str"/>
      <c r="I48" s="48" t="str"/>
      <c r="J48" s="48" t="inlineStr">
        <is>
          <t>未開始</t>
        </is>
      </c>
      <c r="K48" s="48" t="str"/>
      <c r="L48" s="92" t="n"/>
    </row>
    <row r="49" ht="36" customHeight="1">
      <c r="A49" s="45" t="n">
        <v>44</v>
      </c>
      <c r="B49" s="48" t="str"/>
      <c r="C49" s="48" t="str"/>
      <c r="D49" s="48" t="str"/>
      <c r="E49" s="48" t="str"/>
      <c r="F49" s="48" t="str"/>
      <c r="G49" s="48" t="str"/>
      <c r="H49" s="48" t="str"/>
      <c r="I49" s="48" t="str"/>
      <c r="J49" s="48" t="inlineStr">
        <is>
          <t>未開始</t>
        </is>
      </c>
      <c r="K49" s="48" t="str"/>
      <c r="L49" s="92" t="n"/>
    </row>
    <row r="50" ht="36" customHeight="1">
      <c r="A50" s="45" t="n">
        <v>45</v>
      </c>
      <c r="B50" s="48" t="str"/>
      <c r="C50" s="48" t="str"/>
      <c r="D50" s="48" t="str"/>
      <c r="E50" s="48" t="str"/>
      <c r="F50" s="48" t="str"/>
      <c r="G50" s="48" t="str"/>
      <c r="H50" s="48" t="str"/>
      <c r="I50" s="48" t="str"/>
      <c r="J50" s="48" t="inlineStr">
        <is>
          <t>未開始</t>
        </is>
      </c>
      <c r="K50" s="48" t="str"/>
      <c r="L50" s="92" t="n"/>
    </row>
    <row r="51" ht="36" customHeight="1">
      <c r="A51" s="45" t="n">
        <v>46</v>
      </c>
      <c r="B51" s="48" t="str"/>
      <c r="C51" s="48" t="str"/>
      <c r="D51" s="48" t="str"/>
      <c r="E51" s="48" t="str"/>
      <c r="F51" s="48" t="str"/>
      <c r="G51" s="48" t="str"/>
      <c r="H51" s="48" t="str"/>
      <c r="I51" s="48" t="str"/>
      <c r="J51" s="48" t="inlineStr">
        <is>
          <t>未開始</t>
        </is>
      </c>
      <c r="K51" s="48" t="str"/>
      <c r="L51" s="92" t="n"/>
    </row>
    <row r="52" ht="36" customHeight="1">
      <c r="A52" s="45" t="n">
        <v>47</v>
      </c>
      <c r="B52" s="48" t="str"/>
      <c r="C52" s="48" t="str"/>
      <c r="D52" s="48" t="str"/>
      <c r="E52" s="48" t="str"/>
      <c r="F52" s="48" t="str"/>
      <c r="G52" s="48" t="str"/>
      <c r="H52" s="48" t="str"/>
      <c r="I52" s="48" t="str"/>
      <c r="J52" s="48" t="inlineStr">
        <is>
          <t>未開始</t>
        </is>
      </c>
      <c r="K52" s="48" t="str"/>
      <c r="L52" s="92" t="n"/>
    </row>
    <row r="53" ht="36" customHeight="1">
      <c r="A53" s="45" t="n">
        <v>48</v>
      </c>
      <c r="B53" s="48" t="str"/>
      <c r="C53" s="48" t="str"/>
      <c r="D53" s="48" t="str"/>
      <c r="E53" s="48" t="str"/>
      <c r="F53" s="48" t="str"/>
      <c r="G53" s="48" t="str"/>
      <c r="H53" s="48" t="str"/>
      <c r="I53" s="48" t="str"/>
      <c r="J53" s="48" t="inlineStr">
        <is>
          <t>未開始</t>
        </is>
      </c>
      <c r="K53" s="48" t="str"/>
      <c r="L53" s="92" t="n"/>
    </row>
    <row r="54" ht="36" customHeight="1">
      <c r="A54" s="45" t="n">
        <v>49</v>
      </c>
      <c r="B54" s="48" t="str"/>
      <c r="C54" s="48" t="str"/>
      <c r="D54" s="48" t="str"/>
      <c r="E54" s="48" t="str"/>
      <c r="F54" s="48" t="str"/>
      <c r="G54" s="48" t="str"/>
      <c r="H54" s="48" t="str"/>
      <c r="I54" s="48" t="str"/>
      <c r="J54" s="48" t="inlineStr">
        <is>
          <t>未開始</t>
        </is>
      </c>
      <c r="K54" s="48" t="str"/>
      <c r="L54" s="92" t="n"/>
    </row>
    <row r="55" ht="36" customHeight="1">
      <c r="A55" s="45" t="n">
        <v>50</v>
      </c>
      <c r="B55" s="48" t="str"/>
      <c r="C55" s="48" t="str"/>
      <c r="D55" s="48" t="str"/>
      <c r="E55" s="48" t="str"/>
      <c r="F55" s="48" t="str"/>
      <c r="G55" s="48" t="str"/>
      <c r="H55" s="48" t="str"/>
      <c r="I55" s="48" t="str"/>
      <c r="J55" s="48" t="inlineStr">
        <is>
          <t>未開始</t>
        </is>
      </c>
      <c r="K55" s="48" t="str"/>
      <c r="L55" s="92" t="n"/>
    </row>
    <row r="56" ht="36" customHeight="1">
      <c r="A56" s="45" t="n">
        <v>51</v>
      </c>
      <c r="B56" s="48" t="str"/>
      <c r="C56" s="48" t="str"/>
      <c r="D56" s="48" t="str"/>
      <c r="E56" s="48" t="str"/>
      <c r="F56" s="48" t="str"/>
      <c r="G56" s="48" t="str"/>
      <c r="H56" s="48" t="str"/>
      <c r="I56" s="48" t="str"/>
      <c r="J56" s="48" t="inlineStr">
        <is>
          <t>未開始</t>
        </is>
      </c>
      <c r="K56" s="48" t="str"/>
      <c r="L56" s="92" t="n"/>
    </row>
    <row r="57" ht="36" customHeight="1">
      <c r="A57" s="45" t="n">
        <v>52</v>
      </c>
      <c r="B57" s="48" t="str"/>
      <c r="C57" s="48" t="str"/>
      <c r="D57" s="48" t="str"/>
      <c r="E57" s="48" t="str"/>
      <c r="F57" s="48" t="str"/>
      <c r="G57" s="48" t="str"/>
      <c r="H57" s="48" t="str"/>
      <c r="I57" s="48" t="str"/>
      <c r="J57" s="48" t="inlineStr">
        <is>
          <t>未開始</t>
        </is>
      </c>
      <c r="K57" s="48" t="str"/>
      <c r="L57" s="92" t="n"/>
    </row>
    <row r="58" ht="36" customHeight="1">
      <c r="A58" s="45" t="n">
        <v>53</v>
      </c>
      <c r="B58" s="48" t="str"/>
      <c r="C58" s="48" t="str"/>
      <c r="D58" s="48" t="str"/>
      <c r="E58" s="48" t="str"/>
      <c r="F58" s="48" t="str"/>
      <c r="G58" s="48" t="str"/>
      <c r="H58" s="48" t="str"/>
      <c r="I58" s="48" t="str"/>
      <c r="J58" s="48" t="inlineStr">
        <is>
          <t>未開始</t>
        </is>
      </c>
      <c r="K58" s="48" t="str"/>
      <c r="L58" s="92" t="n"/>
    </row>
    <row r="59" ht="36" customHeight="1">
      <c r="A59" s="45" t="n">
        <v>54</v>
      </c>
      <c r="B59" s="48" t="str"/>
      <c r="C59" s="48" t="str"/>
      <c r="D59" s="48" t="str"/>
      <c r="E59" s="48" t="str"/>
      <c r="F59" s="48" t="str"/>
      <c r="G59" s="48" t="str"/>
      <c r="H59" s="48" t="str"/>
      <c r="I59" s="48" t="str"/>
      <c r="J59" s="48" t="inlineStr">
        <is>
          <t>未開始</t>
        </is>
      </c>
      <c r="K59" s="48" t="str"/>
      <c r="L59" s="92" t="n"/>
    </row>
    <row r="60" ht="36" customHeight="1">
      <c r="A60" s="45" t="n">
        <v>55</v>
      </c>
      <c r="B60" s="48" t="str"/>
      <c r="C60" s="48" t="str"/>
      <c r="D60" s="48" t="str"/>
      <c r="E60" s="48" t="str"/>
      <c r="F60" s="48" t="str"/>
      <c r="G60" s="48" t="str"/>
      <c r="H60" s="48" t="str"/>
      <c r="I60" s="48" t="str"/>
      <c r="J60" s="48" t="inlineStr">
        <is>
          <t>未開始</t>
        </is>
      </c>
      <c r="K60" s="48" t="str"/>
      <c r="L60" s="92" t="n"/>
    </row>
    <row r="61" ht="36" customHeight="1">
      <c r="A61" s="45" t="n">
        <v>56</v>
      </c>
      <c r="B61" s="48" t="str"/>
      <c r="C61" s="48" t="str"/>
      <c r="D61" s="48" t="str"/>
      <c r="E61" s="48" t="str"/>
      <c r="F61" s="48" t="str"/>
      <c r="G61" s="48" t="str"/>
      <c r="H61" s="48" t="str"/>
      <c r="I61" s="48" t="str"/>
      <c r="J61" s="48" t="inlineStr">
        <is>
          <t>未開始</t>
        </is>
      </c>
      <c r="K61" s="48" t="str"/>
      <c r="L61" s="92" t="n"/>
    </row>
    <row r="62" ht="36" customHeight="1">
      <c r="A62" s="45" t="n">
        <v>57</v>
      </c>
      <c r="B62" s="48" t="str"/>
      <c r="C62" s="48" t="str"/>
      <c r="D62" s="48" t="str"/>
      <c r="E62" s="48" t="str"/>
      <c r="F62" s="48" t="str"/>
      <c r="G62" s="48" t="str"/>
      <c r="H62" s="48" t="str"/>
      <c r="I62" s="48" t="str"/>
      <c r="J62" s="48" t="inlineStr">
        <is>
          <t>未開始</t>
        </is>
      </c>
      <c r="K62" s="48" t="str"/>
      <c r="L62" s="92" t="n"/>
    </row>
    <row r="63" ht="36" customHeight="1">
      <c r="A63" s="45" t="n">
        <v>58</v>
      </c>
      <c r="B63" s="48" t="str"/>
      <c r="C63" s="48" t="str"/>
      <c r="D63" s="48" t="str"/>
      <c r="E63" s="48" t="str"/>
      <c r="F63" s="48" t="str"/>
      <c r="G63" s="48" t="str"/>
      <c r="H63" s="48" t="str"/>
      <c r="I63" s="48" t="str"/>
      <c r="J63" s="48" t="inlineStr">
        <is>
          <t>未開始</t>
        </is>
      </c>
      <c r="K63" s="48" t="str"/>
      <c r="L63" s="92" t="n"/>
    </row>
    <row r="64" ht="36" customHeight="1">
      <c r="A64" s="45" t="n">
        <v>59</v>
      </c>
      <c r="B64" s="48" t="str"/>
      <c r="C64" s="48" t="str"/>
      <c r="D64" s="48" t="str"/>
      <c r="E64" s="48" t="str"/>
      <c r="F64" s="48" t="str"/>
      <c r="G64" s="48" t="str"/>
      <c r="H64" s="48" t="str"/>
      <c r="I64" s="48" t="str"/>
      <c r="J64" s="48" t="inlineStr">
        <is>
          <t>未開始</t>
        </is>
      </c>
      <c r="K64" s="48" t="str"/>
      <c r="L64" s="92" t="n"/>
    </row>
    <row r="65" ht="36" customHeight="1">
      <c r="A65" s="45" t="n">
        <v>60</v>
      </c>
      <c r="B65" s="48" t="str"/>
      <c r="C65" s="48" t="str"/>
      <c r="D65" s="48" t="str"/>
      <c r="E65" s="48" t="str"/>
      <c r="F65" s="48" t="str"/>
      <c r="G65" s="48" t="str"/>
      <c r="H65" s="48" t="str"/>
      <c r="I65" s="48" t="str"/>
      <c r="J65" s="48" t="inlineStr">
        <is>
          <t>未開始</t>
        </is>
      </c>
      <c r="K65" s="48" t="str"/>
      <c r="L65" s="92" t="n"/>
    </row>
    <row r="66" ht="36" customHeight="1">
      <c r="A66" s="45" t="n">
        <v>61</v>
      </c>
      <c r="B66" s="48" t="str"/>
      <c r="C66" s="48" t="str"/>
      <c r="D66" s="48" t="str"/>
      <c r="E66" s="48" t="str"/>
      <c r="F66" s="48" t="str"/>
      <c r="G66" s="48" t="str"/>
      <c r="H66" s="48" t="str"/>
      <c r="I66" s="48" t="str"/>
      <c r="J66" s="48" t="inlineStr">
        <is>
          <t>未開始</t>
        </is>
      </c>
      <c r="K66" s="48" t="str"/>
      <c r="L66" s="92" t="n"/>
    </row>
    <row r="67" ht="36" customHeight="1">
      <c r="A67" s="45" t="n">
        <v>62</v>
      </c>
      <c r="B67" s="48" t="str"/>
      <c r="C67" s="48" t="str"/>
      <c r="D67" s="48" t="str"/>
      <c r="E67" s="48" t="str"/>
      <c r="F67" s="48" t="str"/>
      <c r="G67" s="48" t="str"/>
      <c r="H67" s="48" t="str"/>
      <c r="I67" s="48" t="str"/>
      <c r="J67" s="48" t="inlineStr">
        <is>
          <t>未開始</t>
        </is>
      </c>
      <c r="K67" s="48" t="str"/>
      <c r="L67" s="92" t="n"/>
    </row>
    <row r="68" ht="36" customHeight="1">
      <c r="A68" s="45" t="n">
        <v>63</v>
      </c>
      <c r="B68" s="48" t="str"/>
      <c r="C68" s="48" t="str"/>
      <c r="D68" s="48" t="str"/>
      <c r="E68" s="48" t="str"/>
      <c r="F68" s="48" t="str"/>
      <c r="G68" s="48" t="str"/>
      <c r="H68" s="48" t="str"/>
      <c r="I68" s="48" t="str"/>
      <c r="J68" s="48" t="inlineStr">
        <is>
          <t>未開始</t>
        </is>
      </c>
      <c r="K68" s="48" t="str"/>
      <c r="L68" s="92" t="n"/>
    </row>
    <row r="69" ht="36" customHeight="1">
      <c r="A69" s="45" t="n">
        <v>64</v>
      </c>
      <c r="B69" s="48" t="str"/>
      <c r="C69" s="48" t="str"/>
      <c r="D69" s="48" t="str"/>
      <c r="E69" s="48" t="str"/>
      <c r="F69" s="48" t="str"/>
      <c r="G69" s="48" t="str"/>
      <c r="H69" s="48" t="str"/>
      <c r="I69" s="48" t="str"/>
      <c r="J69" s="48" t="inlineStr">
        <is>
          <t>未開始</t>
        </is>
      </c>
      <c r="K69" s="48" t="str"/>
      <c r="L69" s="92" t="n"/>
    </row>
    <row r="70" ht="36" customHeight="1">
      <c r="A70" s="45" t="n">
        <v>65</v>
      </c>
      <c r="B70" s="48" t="str"/>
      <c r="C70" s="48" t="str"/>
      <c r="D70" s="48" t="str"/>
      <c r="E70" s="48" t="str"/>
      <c r="F70" s="48" t="str"/>
      <c r="G70" s="48" t="str"/>
      <c r="H70" s="48" t="str"/>
      <c r="I70" s="48" t="str"/>
      <c r="J70" s="48" t="inlineStr">
        <is>
          <t>未開始</t>
        </is>
      </c>
      <c r="K70" s="48" t="str"/>
      <c r="L70" s="92" t="n"/>
    </row>
    <row r="71" ht="36" customHeight="1">
      <c r="A71" s="45" t="n">
        <v>66</v>
      </c>
      <c r="B71" s="48" t="str"/>
      <c r="C71" s="48" t="str"/>
      <c r="D71" s="48" t="str"/>
      <c r="E71" s="48" t="str"/>
      <c r="F71" s="48" t="str"/>
      <c r="G71" s="48" t="str"/>
      <c r="H71" s="48" t="str"/>
      <c r="I71" s="48" t="str"/>
      <c r="J71" s="48" t="inlineStr">
        <is>
          <t>未開始</t>
        </is>
      </c>
      <c r="K71" s="48" t="str"/>
      <c r="L71" s="92" t="n"/>
    </row>
    <row r="72" ht="36" customHeight="1">
      <c r="A72" s="45" t="n">
        <v>67</v>
      </c>
      <c r="B72" s="48" t="str"/>
      <c r="C72" s="48" t="str"/>
      <c r="D72" s="48" t="str"/>
      <c r="E72" s="48" t="str"/>
      <c r="F72" s="48" t="str"/>
      <c r="G72" s="48" t="str"/>
      <c r="H72" s="48" t="str"/>
      <c r="I72" s="48" t="str"/>
      <c r="J72" s="48" t="inlineStr">
        <is>
          <t>未開始</t>
        </is>
      </c>
      <c r="K72" s="48" t="str"/>
      <c r="L72" s="92" t="n"/>
    </row>
    <row r="73" ht="36" customHeight="1">
      <c r="A73" s="45" t="n">
        <v>68</v>
      </c>
      <c r="B73" s="48" t="str"/>
      <c r="C73" s="48" t="str"/>
      <c r="D73" s="48" t="str"/>
      <c r="E73" s="48" t="str"/>
      <c r="F73" s="48" t="str"/>
      <c r="G73" s="48" t="str"/>
      <c r="H73" s="48" t="str"/>
      <c r="I73" s="48" t="str"/>
      <c r="J73" s="48" t="inlineStr">
        <is>
          <t>未開始</t>
        </is>
      </c>
      <c r="K73" s="48" t="str"/>
      <c r="L73" s="92" t="n"/>
    </row>
    <row r="74" ht="36" customHeight="1">
      <c r="A74" s="45" t="n">
        <v>69</v>
      </c>
      <c r="B74" s="48" t="str"/>
      <c r="C74" s="48" t="str"/>
      <c r="D74" s="48" t="str"/>
      <c r="E74" s="48" t="str"/>
      <c r="F74" s="48" t="str"/>
      <c r="G74" s="48" t="str"/>
      <c r="H74" s="48" t="str"/>
      <c r="I74" s="48" t="str"/>
      <c r="J74" s="48" t="inlineStr">
        <is>
          <t>未開始</t>
        </is>
      </c>
      <c r="K74" s="48" t="str"/>
      <c r="L74" s="92" t="n"/>
    </row>
    <row r="75" ht="36" customHeight="1">
      <c r="A75" s="45" t="n">
        <v>70</v>
      </c>
      <c r="B75" s="48" t="str"/>
      <c r="C75" s="48" t="str"/>
      <c r="D75" s="48" t="str"/>
      <c r="E75" s="48" t="str"/>
      <c r="F75" s="48" t="str"/>
      <c r="G75" s="48" t="str"/>
      <c r="H75" s="48" t="str"/>
      <c r="I75" s="48" t="str"/>
      <c r="J75" s="48" t="inlineStr">
        <is>
          <t>未開始</t>
        </is>
      </c>
      <c r="K75" s="48" t="str"/>
      <c r="L75" s="92" t="n"/>
    </row>
    <row r="76" ht="36" customHeight="1">
      <c r="A76" s="45" t="n">
        <v>71</v>
      </c>
      <c r="B76" s="48" t="str"/>
      <c r="C76" s="48" t="str"/>
      <c r="D76" s="48" t="str"/>
      <c r="E76" s="48" t="str"/>
      <c r="F76" s="48" t="str"/>
      <c r="G76" s="48" t="str"/>
      <c r="H76" s="48" t="str"/>
      <c r="I76" s="48" t="str"/>
      <c r="J76" s="48" t="inlineStr">
        <is>
          <t>未開始</t>
        </is>
      </c>
      <c r="K76" s="48" t="str"/>
      <c r="L76" s="92" t="n"/>
    </row>
    <row r="77" ht="36" customHeight="1">
      <c r="A77" s="45" t="n">
        <v>72</v>
      </c>
      <c r="B77" s="48" t="str"/>
      <c r="C77" s="48" t="str"/>
      <c r="D77" s="48" t="str"/>
      <c r="E77" s="48" t="str"/>
      <c r="F77" s="48" t="str"/>
      <c r="G77" s="48" t="str"/>
      <c r="H77" s="48" t="str"/>
      <c r="I77" s="48" t="str"/>
      <c r="J77" s="48" t="inlineStr">
        <is>
          <t>未開始</t>
        </is>
      </c>
      <c r="K77" s="48" t="str"/>
      <c r="L77" s="92" t="n"/>
    </row>
    <row r="78" ht="36" customHeight="1">
      <c r="A78" s="45" t="n">
        <v>73</v>
      </c>
      <c r="B78" s="48" t="str"/>
      <c r="C78" s="48" t="str"/>
      <c r="D78" s="48" t="str"/>
      <c r="E78" s="48" t="str"/>
      <c r="F78" s="48" t="str"/>
      <c r="G78" s="48" t="str"/>
      <c r="H78" s="48" t="str"/>
      <c r="I78" s="48" t="str"/>
      <c r="J78" s="48" t="inlineStr">
        <is>
          <t>未開始</t>
        </is>
      </c>
      <c r="K78" s="48" t="str"/>
      <c r="L78" s="92" t="n"/>
    </row>
    <row r="79" ht="36" customHeight="1">
      <c r="A79" s="45" t="n">
        <v>74</v>
      </c>
      <c r="B79" s="48" t="str"/>
      <c r="C79" s="48" t="str"/>
      <c r="D79" s="48" t="str"/>
      <c r="E79" s="48" t="str"/>
      <c r="F79" s="48" t="str"/>
      <c r="G79" s="48" t="str"/>
      <c r="H79" s="48" t="str"/>
      <c r="I79" s="48" t="str"/>
      <c r="J79" s="48" t="inlineStr">
        <is>
          <t>未開始</t>
        </is>
      </c>
      <c r="K79" s="48" t="str"/>
      <c r="L79" s="92" t="n"/>
    </row>
    <row r="80" ht="36" customHeight="1">
      <c r="A80" s="45" t="n">
        <v>75</v>
      </c>
      <c r="B80" s="48" t="str"/>
      <c r="C80" s="48" t="str"/>
      <c r="D80" s="48" t="str"/>
      <c r="E80" s="48" t="str"/>
      <c r="F80" s="48" t="str"/>
      <c r="G80" s="48" t="str"/>
      <c r="H80" s="48" t="str"/>
      <c r="I80" s="48" t="str"/>
      <c r="J80" s="48" t="inlineStr">
        <is>
          <t>未開始</t>
        </is>
      </c>
      <c r="K80" s="48" t="str"/>
      <c r="L80" s="92" t="n"/>
    </row>
    <row r="81" ht="36" customHeight="1">
      <c r="A81" s="45" t="n">
        <v>76</v>
      </c>
      <c r="B81" s="48" t="str"/>
      <c r="C81" s="48" t="str"/>
      <c r="D81" s="48" t="str"/>
      <c r="E81" s="48" t="str"/>
      <c r="F81" s="48" t="str"/>
      <c r="G81" s="48" t="str"/>
      <c r="H81" s="48" t="str"/>
      <c r="I81" s="48" t="str"/>
      <c r="J81" s="48" t="inlineStr">
        <is>
          <t>未開始</t>
        </is>
      </c>
      <c r="K81" s="48" t="str"/>
      <c r="L81" s="92" t="n"/>
    </row>
    <row r="82" ht="36" customHeight="1">
      <c r="A82" s="45" t="n">
        <v>77</v>
      </c>
      <c r="B82" s="48" t="str"/>
      <c r="C82" s="48" t="str"/>
      <c r="D82" s="48" t="str"/>
      <c r="E82" s="48" t="str"/>
      <c r="F82" s="48" t="str"/>
      <c r="G82" s="48" t="str"/>
      <c r="H82" s="48" t="str"/>
      <c r="I82" s="48" t="str"/>
      <c r="J82" s="48" t="inlineStr">
        <is>
          <t>未開始</t>
        </is>
      </c>
      <c r="K82" s="48" t="str"/>
      <c r="L82" s="92" t="n"/>
    </row>
    <row r="83" ht="36" customHeight="1">
      <c r="A83" s="45" t="n">
        <v>78</v>
      </c>
      <c r="B83" s="48" t="str"/>
      <c r="C83" s="48" t="str"/>
      <c r="D83" s="48" t="str"/>
      <c r="E83" s="48" t="str"/>
      <c r="F83" s="48" t="str"/>
      <c r="G83" s="48" t="str"/>
      <c r="H83" s="48" t="str"/>
      <c r="I83" s="48" t="str"/>
      <c r="J83" s="48" t="inlineStr">
        <is>
          <t>未開始</t>
        </is>
      </c>
      <c r="K83" s="48" t="str"/>
      <c r="L83" s="92" t="n"/>
    </row>
    <row r="84" ht="36" customHeight="1">
      <c r="A84" s="45" t="n">
        <v>79</v>
      </c>
      <c r="B84" s="48" t="str"/>
      <c r="C84" s="48" t="str"/>
      <c r="D84" s="48" t="str"/>
      <c r="E84" s="48" t="str"/>
      <c r="F84" s="48" t="str"/>
      <c r="G84" s="48" t="str"/>
      <c r="H84" s="48" t="str"/>
      <c r="I84" s="48" t="str"/>
      <c r="J84" s="48" t="inlineStr">
        <is>
          <t>未開始</t>
        </is>
      </c>
      <c r="K84" s="48" t="str"/>
      <c r="L84" s="92" t="n"/>
    </row>
    <row r="85" ht="36" customHeight="1">
      <c r="A85" s="45" t="n">
        <v>80</v>
      </c>
      <c r="B85" s="48" t="str"/>
      <c r="C85" s="48" t="str"/>
      <c r="D85" s="48" t="str"/>
      <c r="E85" s="48" t="str"/>
      <c r="F85" s="48" t="str"/>
      <c r="G85" s="48" t="str"/>
      <c r="H85" s="48" t="str"/>
      <c r="I85" s="48" t="str"/>
      <c r="J85" s="48" t="inlineStr">
        <is>
          <t>未開始</t>
        </is>
      </c>
      <c r="K85" s="48" t="str"/>
      <c r="L85" s="92" t="n"/>
    </row>
    <row r="86" ht="36" customHeight="1">
      <c r="A86" s="45" t="n">
        <v>81</v>
      </c>
      <c r="B86" s="48" t="str"/>
      <c r="C86" s="48" t="str"/>
      <c r="D86" s="48" t="str"/>
      <c r="E86" s="48" t="str"/>
      <c r="F86" s="48" t="str"/>
      <c r="G86" s="48" t="str"/>
      <c r="H86" s="48" t="str"/>
      <c r="I86" s="48" t="str"/>
      <c r="J86" s="48" t="inlineStr">
        <is>
          <t>未開始</t>
        </is>
      </c>
      <c r="K86" s="48" t="str"/>
      <c r="L86" s="92" t="n"/>
    </row>
    <row r="87" ht="36" customHeight="1">
      <c r="A87" s="45" t="n">
        <v>82</v>
      </c>
      <c r="B87" s="48" t="str"/>
      <c r="C87" s="48" t="str"/>
      <c r="D87" s="48" t="str"/>
      <c r="E87" s="48" t="str"/>
      <c r="F87" s="48" t="str"/>
      <c r="G87" s="48" t="str"/>
      <c r="H87" s="48" t="str"/>
      <c r="I87" s="48" t="str"/>
      <c r="J87" s="48" t="inlineStr">
        <is>
          <t>未開始</t>
        </is>
      </c>
      <c r="K87" s="48" t="str"/>
      <c r="L87" s="92" t="n"/>
    </row>
    <row r="88" ht="36" customHeight="1">
      <c r="A88" s="45" t="n">
        <v>83</v>
      </c>
      <c r="B88" s="48" t="str"/>
      <c r="C88" s="48" t="str"/>
      <c r="D88" s="48" t="str"/>
      <c r="E88" s="48" t="str"/>
      <c r="F88" s="48" t="str"/>
      <c r="G88" s="48" t="str"/>
      <c r="H88" s="48" t="str"/>
      <c r="I88" s="48" t="str"/>
      <c r="J88" s="48" t="inlineStr">
        <is>
          <t>未開始</t>
        </is>
      </c>
      <c r="K88" s="48" t="str"/>
      <c r="L88" s="92" t="n"/>
    </row>
    <row r="89" ht="36" customHeight="1">
      <c r="A89" s="45" t="n">
        <v>84</v>
      </c>
      <c r="B89" s="48" t="str"/>
      <c r="C89" s="48" t="str"/>
      <c r="D89" s="48" t="str"/>
      <c r="E89" s="48" t="str"/>
      <c r="F89" s="48" t="str"/>
      <c r="G89" s="48" t="str"/>
      <c r="H89" s="48" t="str"/>
      <c r="I89" s="48" t="str"/>
      <c r="J89" s="48" t="inlineStr">
        <is>
          <t>未開始</t>
        </is>
      </c>
      <c r="K89" s="48" t="str"/>
      <c r="L89" s="92" t="n"/>
    </row>
    <row r="90" ht="36" customHeight="1">
      <c r="A90" s="45" t="n">
        <v>85</v>
      </c>
      <c r="B90" s="48" t="str"/>
      <c r="C90" s="48" t="str"/>
      <c r="D90" s="48" t="str"/>
      <c r="E90" s="48" t="str"/>
      <c r="F90" s="48" t="str"/>
      <c r="G90" s="48" t="str"/>
      <c r="H90" s="48" t="str"/>
      <c r="I90" s="48" t="str"/>
      <c r="J90" s="48" t="inlineStr">
        <is>
          <t>未開始</t>
        </is>
      </c>
      <c r="K90" s="48" t="str"/>
      <c r="L90" s="92" t="n"/>
    </row>
    <row r="91" ht="36" customHeight="1">
      <c r="A91" s="45" t="n">
        <v>86</v>
      </c>
      <c r="B91" s="48" t="str"/>
      <c r="C91" s="48" t="str"/>
      <c r="D91" s="48" t="str"/>
      <c r="E91" s="48" t="str"/>
      <c r="F91" s="48" t="str"/>
      <c r="G91" s="48" t="str"/>
      <c r="H91" s="48" t="str"/>
      <c r="I91" s="48" t="str"/>
      <c r="J91" s="48" t="inlineStr">
        <is>
          <t>未開始</t>
        </is>
      </c>
      <c r="K91" s="48" t="str"/>
      <c r="L91" s="92" t="n"/>
    </row>
    <row r="92" ht="36" customHeight="1">
      <c r="A92" s="45" t="n">
        <v>87</v>
      </c>
      <c r="B92" s="48" t="str"/>
      <c r="C92" s="48" t="str"/>
      <c r="D92" s="48" t="str"/>
      <c r="E92" s="48" t="str"/>
      <c r="F92" s="48" t="str"/>
      <c r="G92" s="48" t="str"/>
      <c r="H92" s="48" t="str"/>
      <c r="I92" s="48" t="str"/>
      <c r="J92" s="48" t="inlineStr">
        <is>
          <t>未開始</t>
        </is>
      </c>
      <c r="K92" s="48" t="str"/>
      <c r="L92" s="92" t="n"/>
    </row>
    <row r="93" ht="36" customHeight="1">
      <c r="A93" s="45" t="n">
        <v>88</v>
      </c>
      <c r="B93" s="48" t="str"/>
      <c r="C93" s="48" t="str"/>
      <c r="D93" s="48" t="str"/>
      <c r="E93" s="48" t="str"/>
      <c r="F93" s="48" t="str"/>
      <c r="G93" s="48" t="str"/>
      <c r="H93" s="48" t="str"/>
      <c r="I93" s="48" t="str"/>
      <c r="J93" s="48" t="inlineStr">
        <is>
          <t>未開始</t>
        </is>
      </c>
      <c r="K93" s="48" t="str"/>
      <c r="L93" s="92" t="n"/>
    </row>
    <row r="94" ht="36" customHeight="1">
      <c r="A94" s="45" t="n">
        <v>89</v>
      </c>
      <c r="B94" s="48" t="str"/>
      <c r="C94" s="48" t="str"/>
      <c r="D94" s="48" t="str"/>
      <c r="E94" s="48" t="str"/>
      <c r="F94" s="48" t="str"/>
      <c r="G94" s="48" t="str"/>
      <c r="H94" s="48" t="str"/>
      <c r="I94" s="48" t="str"/>
      <c r="J94" s="48" t="inlineStr">
        <is>
          <t>未開始</t>
        </is>
      </c>
      <c r="K94" s="48" t="str"/>
      <c r="L94" s="92" t="n"/>
    </row>
    <row r="95" ht="36" customHeight="1">
      <c r="A95" s="45" t="n">
        <v>90</v>
      </c>
      <c r="B95" s="48" t="str"/>
      <c r="C95" s="48" t="str"/>
      <c r="D95" s="48" t="str"/>
      <c r="E95" s="48" t="str"/>
      <c r="F95" s="48" t="str"/>
      <c r="G95" s="48" t="str"/>
      <c r="H95" s="48" t="str"/>
      <c r="I95" s="48" t="str"/>
      <c r="J95" s="48" t="inlineStr">
        <is>
          <t>未開始</t>
        </is>
      </c>
      <c r="K95" s="48" t="str"/>
      <c r="L95" s="92" t="n"/>
    </row>
    <row r="96" ht="36" customHeight="1">
      <c r="A96" s="45" t="n">
        <v>91</v>
      </c>
      <c r="B96" s="48" t="str"/>
      <c r="C96" s="48" t="str"/>
      <c r="D96" s="48" t="str"/>
      <c r="E96" s="48" t="str"/>
      <c r="F96" s="48" t="str"/>
      <c r="G96" s="48" t="str"/>
      <c r="H96" s="48" t="str"/>
      <c r="I96" s="48" t="str"/>
      <c r="J96" s="48" t="inlineStr">
        <is>
          <t>未開始</t>
        </is>
      </c>
      <c r="K96" s="48" t="str"/>
      <c r="L96" s="92" t="n"/>
    </row>
    <row r="97" ht="36" customHeight="1">
      <c r="A97" s="45" t="n">
        <v>92</v>
      </c>
      <c r="B97" s="48" t="str"/>
      <c r="C97" s="48" t="str"/>
      <c r="D97" s="48" t="str"/>
      <c r="E97" s="48" t="str"/>
      <c r="F97" s="48" t="str"/>
      <c r="G97" s="48" t="str"/>
      <c r="H97" s="48" t="str"/>
      <c r="I97" s="48" t="str"/>
      <c r="J97" s="48" t="inlineStr">
        <is>
          <t>未開始</t>
        </is>
      </c>
      <c r="K97" s="48" t="str"/>
      <c r="L97" s="92" t="n"/>
    </row>
    <row r="98" ht="36" customHeight="1">
      <c r="A98" s="45" t="n">
        <v>93</v>
      </c>
      <c r="B98" s="48" t="str"/>
      <c r="C98" s="48" t="str"/>
      <c r="D98" s="48" t="str"/>
      <c r="E98" s="48" t="str"/>
      <c r="F98" s="48" t="str"/>
      <c r="G98" s="48" t="str"/>
      <c r="H98" s="48" t="str"/>
      <c r="I98" s="48" t="str"/>
      <c r="J98" s="48" t="inlineStr">
        <is>
          <t>未開始</t>
        </is>
      </c>
      <c r="K98" s="48" t="str"/>
      <c r="L98" s="92" t="n"/>
    </row>
    <row r="99" ht="36" customHeight="1">
      <c r="A99" s="45" t="n">
        <v>94</v>
      </c>
      <c r="B99" s="48" t="str"/>
      <c r="C99" s="48" t="str"/>
      <c r="D99" s="48" t="str"/>
      <c r="E99" s="48" t="str"/>
      <c r="F99" s="48" t="str"/>
      <c r="G99" s="48" t="str"/>
      <c r="H99" s="48" t="str"/>
      <c r="I99" s="48" t="str"/>
      <c r="J99" s="48" t="inlineStr">
        <is>
          <t>未開始</t>
        </is>
      </c>
      <c r="K99" s="48" t="str"/>
      <c r="L99" s="92" t="n"/>
    </row>
    <row r="100" ht="36" customHeight="1">
      <c r="A100" s="45" t="n">
        <v>95</v>
      </c>
      <c r="B100" s="48" t="str"/>
      <c r="C100" s="48" t="str"/>
      <c r="D100" s="48" t="str"/>
      <c r="E100" s="48" t="str"/>
      <c r="F100" s="48" t="str"/>
      <c r="G100" s="48" t="str"/>
      <c r="H100" s="48" t="str"/>
      <c r="I100" s="48" t="str"/>
      <c r="J100" s="48" t="inlineStr">
        <is>
          <t>未開始</t>
        </is>
      </c>
      <c r="K100" s="48" t="str"/>
      <c r="L100" s="92" t="n"/>
    </row>
    <row r="101" ht="36" customHeight="1">
      <c r="A101" s="45" t="n">
        <v>96</v>
      </c>
      <c r="B101" s="48" t="str"/>
      <c r="C101" s="48" t="str"/>
      <c r="D101" s="48" t="str"/>
      <c r="E101" s="48" t="str"/>
      <c r="F101" s="48" t="str"/>
      <c r="G101" s="48" t="str"/>
      <c r="H101" s="48" t="str"/>
      <c r="I101" s="48" t="str"/>
      <c r="J101" s="48" t="inlineStr">
        <is>
          <t>未開始</t>
        </is>
      </c>
      <c r="K101" s="48" t="str"/>
      <c r="L101" s="92" t="n"/>
    </row>
    <row r="102" ht="36" customHeight="1">
      <c r="A102" s="45" t="n">
        <v>97</v>
      </c>
      <c r="B102" s="48" t="str"/>
      <c r="C102" s="48" t="str"/>
      <c r="D102" s="48" t="str"/>
      <c r="E102" s="48" t="str"/>
      <c r="F102" s="48" t="str"/>
      <c r="G102" s="48" t="str"/>
      <c r="H102" s="48" t="str"/>
      <c r="I102" s="48" t="str"/>
      <c r="J102" s="48" t="inlineStr">
        <is>
          <t>未開始</t>
        </is>
      </c>
      <c r="K102" s="48" t="str"/>
      <c r="L102" s="92" t="n"/>
    </row>
    <row r="103" ht="36" customHeight="1">
      <c r="A103" s="45" t="n">
        <v>98</v>
      </c>
      <c r="B103" s="48" t="str"/>
      <c r="C103" s="48" t="str"/>
      <c r="D103" s="48" t="str"/>
      <c r="E103" s="48" t="str"/>
      <c r="F103" s="48" t="str"/>
      <c r="G103" s="48" t="str"/>
      <c r="H103" s="48" t="str"/>
      <c r="I103" s="48" t="str"/>
      <c r="J103" s="48" t="inlineStr">
        <is>
          <t>未開始</t>
        </is>
      </c>
      <c r="K103" s="48" t="str"/>
      <c r="L103" s="92" t="n"/>
    </row>
    <row r="104" ht="36" customHeight="1">
      <c r="A104" s="45" t="n">
        <v>99</v>
      </c>
      <c r="B104" s="48" t="str"/>
      <c r="C104" s="48" t="str"/>
      <c r="D104" s="48" t="str"/>
      <c r="E104" s="48" t="str"/>
      <c r="F104" s="48" t="str"/>
      <c r="G104" s="48" t="str"/>
      <c r="H104" s="48" t="str"/>
      <c r="I104" s="48" t="str"/>
      <c r="J104" s="48" t="inlineStr">
        <is>
          <t>未開始</t>
        </is>
      </c>
      <c r="K104" s="48" t="str"/>
      <c r="L104" s="92" t="n"/>
    </row>
    <row r="105" ht="36" customHeight="1">
      <c r="A105" s="45" t="n">
        <v>100</v>
      </c>
      <c r="B105" s="48" t="str"/>
      <c r="C105" s="48" t="str"/>
      <c r="D105" s="48" t="str"/>
      <c r="E105" s="48" t="str"/>
      <c r="F105" s="48" t="str"/>
      <c r="G105" s="48" t="str"/>
      <c r="H105" s="48" t="str"/>
      <c r="I105" s="48" t="str"/>
      <c r="J105" s="48" t="inlineStr">
        <is>
          <t>未開始</t>
        </is>
      </c>
      <c r="K105" s="48" t="str"/>
      <c r="L105" s="92" t="n"/>
    </row>
    <row r="106" ht="36" customHeight="1">
      <c r="A106" s="45" t="n">
        <v>101</v>
      </c>
      <c r="B106" s="48" t="str"/>
      <c r="C106" s="48" t="str"/>
      <c r="D106" s="48" t="str"/>
      <c r="E106" s="48" t="str"/>
      <c r="F106" s="48" t="str"/>
      <c r="G106" s="48" t="str"/>
      <c r="H106" s="48" t="str"/>
      <c r="I106" s="48" t="str"/>
      <c r="J106" s="48" t="inlineStr">
        <is>
          <t>未開始</t>
        </is>
      </c>
      <c r="K106" s="48" t="str"/>
      <c r="L106" s="92" t="n"/>
    </row>
    <row r="107" ht="36" customHeight="1">
      <c r="A107" s="45" t="n">
        <v>102</v>
      </c>
      <c r="B107" s="48" t="str"/>
      <c r="C107" s="48" t="str"/>
      <c r="D107" s="48" t="str"/>
      <c r="E107" s="48" t="str"/>
      <c r="F107" s="48" t="str"/>
      <c r="G107" s="48" t="str"/>
      <c r="H107" s="48" t="str"/>
      <c r="I107" s="48" t="str"/>
      <c r="J107" s="48" t="inlineStr">
        <is>
          <t>未開始</t>
        </is>
      </c>
      <c r="K107" s="48" t="str"/>
      <c r="L107" s="92" t="n"/>
    </row>
    <row r="108" ht="36" customHeight="1">
      <c r="A108" s="45" t="n">
        <v>103</v>
      </c>
      <c r="B108" s="48" t="str"/>
      <c r="C108" s="48" t="str"/>
      <c r="D108" s="48" t="str"/>
      <c r="E108" s="48" t="str"/>
      <c r="F108" s="48" t="str"/>
      <c r="G108" s="48" t="str"/>
      <c r="H108" s="48" t="str"/>
      <c r="I108" s="48" t="str"/>
      <c r="J108" s="48" t="inlineStr">
        <is>
          <t>未開始</t>
        </is>
      </c>
      <c r="K108" s="48" t="str"/>
      <c r="L108" s="92" t="n"/>
    </row>
    <row r="109" ht="36" customHeight="1">
      <c r="A109" s="45" t="n">
        <v>104</v>
      </c>
      <c r="B109" s="48" t="str"/>
      <c r="C109" s="48" t="str"/>
      <c r="D109" s="48" t="str"/>
      <c r="E109" s="48" t="str"/>
      <c r="F109" s="48" t="str"/>
      <c r="G109" s="48" t="str"/>
      <c r="H109" s="48" t="str"/>
      <c r="I109" s="48" t="str"/>
      <c r="J109" s="48" t="inlineStr">
        <is>
          <t>未開始</t>
        </is>
      </c>
      <c r="K109" s="48" t="str"/>
      <c r="L109" s="92" t="n"/>
    </row>
    <row r="110" ht="36" customHeight="1">
      <c r="A110" s="45" t="n">
        <v>105</v>
      </c>
      <c r="B110" s="48" t="str"/>
      <c r="C110" s="48" t="str"/>
      <c r="D110" s="48" t="str"/>
      <c r="E110" s="48" t="str"/>
      <c r="F110" s="48" t="str"/>
      <c r="G110" s="48" t="str"/>
      <c r="H110" s="48" t="str"/>
      <c r="I110" s="48" t="str"/>
      <c r="J110" s="48" t="inlineStr">
        <is>
          <t>未開始</t>
        </is>
      </c>
      <c r="K110" s="48" t="str"/>
      <c r="L110" s="92" t="n"/>
    </row>
    <row r="111" ht="36" customHeight="1">
      <c r="A111" s="45" t="n">
        <v>106</v>
      </c>
      <c r="B111" s="48" t="str"/>
      <c r="C111" s="48" t="str"/>
      <c r="D111" s="48" t="str"/>
      <c r="E111" s="48" t="str"/>
      <c r="F111" s="48" t="str"/>
      <c r="G111" s="48" t="str"/>
      <c r="H111" s="48" t="str"/>
      <c r="I111" s="48" t="str"/>
      <c r="J111" s="48" t="inlineStr">
        <is>
          <t>未開始</t>
        </is>
      </c>
      <c r="K111" s="48" t="str"/>
      <c r="L111" s="92" t="n"/>
    </row>
    <row r="112" ht="36" customHeight="1">
      <c r="A112" s="45" t="n">
        <v>107</v>
      </c>
      <c r="B112" s="48" t="str"/>
      <c r="C112" s="48" t="str"/>
      <c r="D112" s="48" t="str"/>
      <c r="E112" s="48" t="str"/>
      <c r="F112" s="48" t="str"/>
      <c r="G112" s="48" t="str"/>
      <c r="H112" s="48" t="str"/>
      <c r="I112" s="48" t="str"/>
      <c r="J112" s="48" t="inlineStr">
        <is>
          <t>未開始</t>
        </is>
      </c>
      <c r="K112" s="48" t="str"/>
      <c r="L112" s="92" t="n"/>
    </row>
    <row r="113" ht="36" customHeight="1">
      <c r="A113" s="45" t="n">
        <v>108</v>
      </c>
      <c r="B113" s="48" t="str"/>
      <c r="C113" s="48" t="str"/>
      <c r="D113" s="48" t="str"/>
      <c r="E113" s="48" t="str"/>
      <c r="F113" s="48" t="str"/>
      <c r="G113" s="48" t="str"/>
      <c r="H113" s="48" t="str"/>
      <c r="I113" s="48" t="str"/>
      <c r="J113" s="48" t="inlineStr">
        <is>
          <t>未開始</t>
        </is>
      </c>
      <c r="K113" s="48" t="str"/>
      <c r="L113" s="92" t="n"/>
    </row>
    <row r="114" ht="36" customHeight="1">
      <c r="A114" s="45" t="n">
        <v>109</v>
      </c>
      <c r="B114" s="48" t="str"/>
      <c r="C114" s="48" t="str"/>
      <c r="D114" s="48" t="str"/>
      <c r="E114" s="48" t="str"/>
      <c r="F114" s="48" t="str"/>
      <c r="G114" s="48" t="str"/>
      <c r="H114" s="48" t="str"/>
      <c r="I114" s="48" t="str"/>
      <c r="J114" s="48" t="inlineStr">
        <is>
          <t>未開始</t>
        </is>
      </c>
      <c r="K114" s="48" t="str"/>
      <c r="L114" s="92" t="n"/>
    </row>
    <row r="115" ht="36" customHeight="1">
      <c r="A115" s="45" t="n">
        <v>110</v>
      </c>
      <c r="B115" s="48" t="str"/>
      <c r="C115" s="48" t="str"/>
      <c r="D115" s="48" t="str"/>
      <c r="E115" s="48" t="str"/>
      <c r="F115" s="48" t="str"/>
      <c r="G115" s="48" t="str"/>
      <c r="H115" s="48" t="str"/>
      <c r="I115" s="48" t="str"/>
      <c r="J115" s="48" t="inlineStr">
        <is>
          <t>未開始</t>
        </is>
      </c>
      <c r="K115" s="48" t="str"/>
      <c r="L115" s="92" t="n"/>
    </row>
    <row r="116" ht="36" customHeight="1">
      <c r="A116" s="45" t="n">
        <v>111</v>
      </c>
      <c r="B116" s="48" t="str"/>
      <c r="C116" s="48" t="str"/>
      <c r="D116" s="48" t="str"/>
      <c r="E116" s="48" t="str"/>
      <c r="F116" s="48" t="str"/>
      <c r="G116" s="48" t="str"/>
      <c r="H116" s="48" t="str"/>
      <c r="I116" s="48" t="str"/>
      <c r="J116" s="48" t="inlineStr">
        <is>
          <t>未開始</t>
        </is>
      </c>
      <c r="K116" s="48" t="str"/>
      <c r="L116" s="92" t="n"/>
    </row>
    <row r="117" ht="36" customHeight="1">
      <c r="A117" s="45" t="n">
        <v>112</v>
      </c>
      <c r="B117" s="48" t="str"/>
      <c r="C117" s="48" t="str"/>
      <c r="D117" s="48" t="str"/>
      <c r="E117" s="48" t="str"/>
      <c r="F117" s="48" t="str"/>
      <c r="G117" s="48" t="str"/>
      <c r="H117" s="48" t="str"/>
      <c r="I117" s="48" t="str"/>
      <c r="J117" s="48" t="inlineStr">
        <is>
          <t>未開始</t>
        </is>
      </c>
      <c r="K117" s="48" t="str"/>
      <c r="L117" s="92" t="n"/>
    </row>
    <row r="118" ht="36" customHeight="1">
      <c r="A118" s="45" t="n">
        <v>113</v>
      </c>
      <c r="B118" s="48" t="str"/>
      <c r="C118" s="48" t="str"/>
      <c r="D118" s="48" t="str"/>
      <c r="E118" s="48" t="str"/>
      <c r="F118" s="48" t="str"/>
      <c r="G118" s="48" t="str"/>
      <c r="H118" s="48" t="str"/>
      <c r="I118" s="48" t="str"/>
      <c r="J118" s="48" t="inlineStr">
        <is>
          <t>未開始</t>
        </is>
      </c>
      <c r="K118" s="48" t="str"/>
      <c r="L118" s="92" t="n"/>
    </row>
    <row r="119" ht="36" customHeight="1">
      <c r="A119" s="45" t="n">
        <v>114</v>
      </c>
      <c r="B119" s="48" t="str"/>
      <c r="C119" s="48" t="str"/>
      <c r="D119" s="48" t="str"/>
      <c r="E119" s="48" t="str"/>
      <c r="F119" s="48" t="str"/>
      <c r="G119" s="48" t="str"/>
      <c r="H119" s="48" t="str"/>
      <c r="I119" s="48" t="str"/>
      <c r="J119" s="48" t="inlineStr">
        <is>
          <t>未開始</t>
        </is>
      </c>
      <c r="K119" s="48" t="str"/>
      <c r="L119" s="92" t="n"/>
    </row>
    <row r="120" ht="36" customHeight="1">
      <c r="A120" s="45" t="n">
        <v>115</v>
      </c>
      <c r="B120" s="48" t="str"/>
      <c r="C120" s="48" t="str"/>
      <c r="D120" s="48" t="str"/>
      <c r="E120" s="48" t="str"/>
      <c r="F120" s="48" t="str"/>
      <c r="G120" s="48" t="str"/>
      <c r="H120" s="48" t="str"/>
      <c r="I120" s="48" t="str"/>
      <c r="J120" s="48" t="inlineStr">
        <is>
          <t>未開始</t>
        </is>
      </c>
      <c r="K120" s="48" t="str"/>
      <c r="L120" s="92" t="n"/>
    </row>
    <row r="121" ht="36" customHeight="1">
      <c r="A121" s="45" t="n">
        <v>116</v>
      </c>
      <c r="B121" s="48" t="str"/>
      <c r="C121" s="48" t="str"/>
      <c r="D121" s="48" t="str"/>
      <c r="E121" s="48" t="str"/>
      <c r="F121" s="48" t="str"/>
      <c r="G121" s="48" t="str"/>
      <c r="H121" s="48" t="str"/>
      <c r="I121" s="48" t="str"/>
      <c r="J121" s="48" t="inlineStr">
        <is>
          <t>未開始</t>
        </is>
      </c>
      <c r="K121" s="48" t="str"/>
      <c r="L121" s="92" t="n"/>
    </row>
    <row r="122" ht="36" customHeight="1">
      <c r="A122" s="45" t="n">
        <v>117</v>
      </c>
      <c r="B122" s="48" t="str"/>
      <c r="C122" s="48" t="str"/>
      <c r="D122" s="48" t="str"/>
      <c r="E122" s="48" t="str"/>
      <c r="F122" s="48" t="str"/>
      <c r="G122" s="48" t="str"/>
      <c r="H122" s="48" t="str"/>
      <c r="I122" s="48" t="str"/>
      <c r="J122" s="48" t="inlineStr">
        <is>
          <t>未開始</t>
        </is>
      </c>
      <c r="K122" s="48" t="str"/>
      <c r="L122" s="92" t="n"/>
    </row>
    <row r="123" ht="36" customHeight="1">
      <c r="A123" s="45" t="n">
        <v>118</v>
      </c>
      <c r="B123" s="48" t="str"/>
      <c r="C123" s="48" t="str"/>
      <c r="D123" s="48" t="str"/>
      <c r="E123" s="48" t="str"/>
      <c r="F123" s="48" t="str"/>
      <c r="G123" s="48" t="str"/>
      <c r="H123" s="48" t="str"/>
      <c r="I123" s="48" t="str"/>
      <c r="J123" s="48" t="inlineStr">
        <is>
          <t>未開始</t>
        </is>
      </c>
      <c r="K123" s="48" t="str"/>
      <c r="L123" s="92" t="n"/>
    </row>
    <row r="124" ht="36" customHeight="1">
      <c r="A124" s="45" t="n">
        <v>119</v>
      </c>
      <c r="B124" s="48" t="str"/>
      <c r="C124" s="48" t="str"/>
      <c r="D124" s="48" t="str"/>
      <c r="E124" s="48" t="str"/>
      <c r="F124" s="48" t="str"/>
      <c r="G124" s="48" t="str"/>
      <c r="H124" s="48" t="str"/>
      <c r="I124" s="48" t="str"/>
      <c r="J124" s="48" t="inlineStr">
        <is>
          <t>未開始</t>
        </is>
      </c>
      <c r="K124" s="48" t="str"/>
      <c r="L124" s="92" t="n"/>
    </row>
    <row r="125" ht="36" customHeight="1">
      <c r="A125" s="61" t="n">
        <v>120</v>
      </c>
      <c r="B125" s="62" t="str"/>
      <c r="C125" s="62" t="str"/>
      <c r="D125" s="62" t="str"/>
      <c r="E125" s="62" t="str"/>
      <c r="F125" s="62" t="str"/>
      <c r="G125" s="62" t="str"/>
      <c r="H125" s="62" t="str"/>
      <c r="I125" s="62" t="str"/>
      <c r="J125" s="62" t="inlineStr">
        <is>
          <t>未開始</t>
        </is>
      </c>
      <c r="K125" s="62" t="str"/>
      <c r="L125" s="94" t="n"/>
    </row>
  </sheetData>
  <conditionalFormatting sqref="G6:G125">
    <cfRule type="containsText" priority="1" operator="containsText" dxfId="0" text="未達"/>
    <cfRule type="containsText" priority="2" operator="containsText" dxfId="2" text="達標"/>
  </conditionalFormatting>
  <dataValidations count="4">
    <dataValidation sqref="B6:B125" showDropDown="0" showInputMessage="0" showErrorMessage="0" allowBlank="0" type="list">
      <formula1>"P1,P2,P3,P4,P5,P6,S1,S2,S3,S4,S5,S6"</formula1>
    </dataValidation>
    <dataValidation sqref="F6:F125" showDropDown="0" showInputMessage="0" showErrorMessage="0" allowBlank="0" type="list">
      <formula1>"定位資料,比較來源,證據推理,解難建模,AI 驗證,反思修正"</formula1>
    </dataValidation>
    <dataValidation sqref="G6:G125" showDropDown="0" showInputMessage="0" showErrorMessage="0" allowBlank="0" type="list">
      <formula1>"未達,接近,達標,超越"</formula1>
    </dataValidation>
    <dataValidation sqref="J6:J125" showDropDown="0" showInputMessage="0" showErrorMessage="0" allowBlank="0" type="list">
      <formula1>"未開始,進行中,已完成"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D67A42"/>
    <outlinePr summaryBelow="1" summaryRight="1"/>
    <pageSetUpPr/>
  </sheetPr>
  <dimension ref="A1:M8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32" customWidth="1" min="4" max="4"/>
    <col width="14" customWidth="1" min="5" max="5"/>
    <col width="14" customWidth="1" min="6" max="6"/>
    <col width="14" customWidth="1" min="7" max="7"/>
    <col width="14" customWidth="1" min="8" max="8"/>
    <col width="24" customWidth="1" min="9" max="9"/>
    <col width="16" customWidth="1" min="10" max="10"/>
    <col width="16" customWidth="1" min="11" max="11"/>
    <col width="30" customWidth="1" min="12" max="12"/>
    <col width="11" customWidth="1" min="13" max="13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課程改革行動計畫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2" t="inlineStr">
        <is>
          <t>把高優先級缺口轉化為有負責人、時限及成功證據的行動。</t>
        </is>
      </c>
      <c r="B3" s="2" t="inlineStr">
        <is>
          <t>把高優先級缺口轉化為有負責人、時限及成功證據的行動。</t>
        </is>
      </c>
      <c r="C3" s="2" t="inlineStr">
        <is>
          <t>把高優先級缺口轉化為有負責人、時限及成功證據的行動。</t>
        </is>
      </c>
      <c r="D3" s="2" t="inlineStr">
        <is>
          <t>把高優先級缺口轉化為有負責人、時限及成功證據的行動。</t>
        </is>
      </c>
      <c r="E3" s="2" t="inlineStr">
        <is>
          <t>把高優先級缺口轉化為有負責人、時限及成功證據的行動。</t>
        </is>
      </c>
      <c r="F3" s="2" t="inlineStr">
        <is>
          <t>把高優先級缺口轉化為有負責人、時限及成功證據的行動。</t>
        </is>
      </c>
      <c r="G3" s="2" t="inlineStr">
        <is>
          <t>把高優先級缺口轉化為有負責人、時限及成功證據的行動。</t>
        </is>
      </c>
      <c r="H3" s="2" t="inlineStr">
        <is>
          <t>把高優先級缺口轉化為有負責人、時限及成功證據的行動。</t>
        </is>
      </c>
      <c r="I3" s="2" t="inlineStr">
        <is>
          <t>把高優先級缺口轉化為有負責人、時限及成功證據的行動。</t>
        </is>
      </c>
      <c r="J3" s="2" t="inlineStr">
        <is>
          <t>把高優先級缺口轉化為有負責人、時限及成功證據的行動。</t>
        </is>
      </c>
      <c r="K3" s="2" t="inlineStr">
        <is>
          <t>把高優先級缺口轉化為有負責人、時限及成功證據的行動。</t>
        </is>
      </c>
      <c r="L3" s="2" t="inlineStr">
        <is>
          <t>把高優先級缺口轉化為有負責人、時限及成功證據的行動。</t>
        </is>
      </c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11" t="inlineStr">
        <is>
          <t>行動編號</t>
        </is>
      </c>
      <c r="B5" s="25" t="inlineStr">
        <is>
          <t>來源審計編號</t>
        </is>
      </c>
      <c r="C5" s="25" t="inlineStr">
        <is>
          <t>年級／科組</t>
        </is>
      </c>
      <c r="D5" s="25" t="inlineStr">
        <is>
          <t>改進行動</t>
        </is>
      </c>
      <c r="E5" s="25" t="inlineStr">
        <is>
          <t>負責人</t>
        </is>
      </c>
      <c r="F5" s="25" t="inlineStr">
        <is>
          <t>開始日期</t>
        </is>
      </c>
      <c r="G5" s="25" t="inlineStr">
        <is>
          <t>完成日期</t>
        </is>
      </c>
      <c r="H5" s="25" t="inlineStr">
        <is>
          <t>狀態</t>
        </is>
      </c>
      <c r="I5" s="25" t="inlineStr">
        <is>
          <t>成功指標</t>
        </is>
      </c>
      <c r="J5" s="25" t="inlineStr">
        <is>
          <t>基線</t>
        </is>
      </c>
      <c r="K5" s="25" t="inlineStr">
        <is>
          <t>目標</t>
        </is>
      </c>
      <c r="L5" s="25" t="inlineStr">
        <is>
          <t>檢視紀錄</t>
        </is>
      </c>
      <c r="M5" s="12" t="inlineStr">
        <is>
          <t>逾期標記</t>
        </is>
      </c>
    </row>
    <row r="6" ht="38" customHeight="1">
      <c r="A6" s="82" t="n">
        <v>1</v>
      </c>
      <c r="B6" s="87" t="n">
        <v>25</v>
      </c>
      <c r="C6" s="87" t="inlineStr">
        <is>
          <t>S1–S3 中文科</t>
        </is>
      </c>
      <c r="D6" s="88" t="inlineStr">
        <is>
          <t>初中多來源非連續性文本閱讀與寫作任務模組建置</t>
        </is>
      </c>
      <c r="E6" s="87" t="inlineStr">
        <is>
          <t>中文科主任</t>
        </is>
      </c>
      <c r="F6" s="95" t="inlineStr">
        <is>
          <t>2026/09/20</t>
        </is>
      </c>
      <c r="G6" s="95" t="inlineStr">
        <is>
          <t>2026/10/25</t>
        </is>
      </c>
      <c r="H6" s="87" t="inlineStr">
        <is>
          <t>進行中</t>
        </is>
      </c>
      <c r="I6" s="88" t="inlineStr">
        <is>
          <t>完成 4 個單元多文本閱讀任務改寫與學生範例</t>
        </is>
      </c>
      <c r="J6" s="88" t="inlineStr">
        <is>
          <t>0 個單元</t>
        </is>
      </c>
      <c r="K6" s="88" t="inlineStr">
        <is>
          <t>4 個單元</t>
        </is>
      </c>
      <c r="L6" s="47" t="str"/>
      <c r="M6" s="96">
        <f>IF(AND(G6&lt;&gt;"",G6&lt;TODAY(),H6&lt;&gt;"已完成"),"逾期","")</f>
        <v/>
      </c>
    </row>
    <row r="7" ht="38" customHeight="1">
      <c r="A7" s="82" t="n">
        <v>2</v>
      </c>
      <c r="B7" s="87" t="n">
        <v>73</v>
      </c>
      <c r="C7" s="87" t="inlineStr">
        <is>
          <t>S1–S3 英文科</t>
        </is>
      </c>
      <c r="D7" s="88" t="inlineStr">
        <is>
          <t>Establish Disciplinary Reading &amp; Anti-plagiarism Oral Viva Protocol</t>
        </is>
      </c>
      <c r="E7" s="87" t="inlineStr">
        <is>
          <t>英文科主任</t>
        </is>
      </c>
      <c r="F7" s="95" t="inlineStr">
        <is>
          <t>2026/09/20</t>
        </is>
      </c>
      <c r="G7" s="95" t="inlineStr">
        <is>
          <t>2026/10/25</t>
        </is>
      </c>
      <c r="H7" s="87" t="inlineStr">
        <is>
          <t>進行中</t>
        </is>
      </c>
      <c r="I7" s="88" t="inlineStr">
        <is>
          <t>100% 寫作任務落實離線初稿與課堂隨機口頭質詢</t>
        </is>
      </c>
      <c r="J7" s="88" t="inlineStr">
        <is>
          <t>15%</t>
        </is>
      </c>
      <c r="K7" s="88" t="inlineStr">
        <is>
          <t>100%</t>
        </is>
      </c>
      <c r="L7" s="48" t="str"/>
      <c r="M7" s="97">
        <f>IF(AND(G7&lt;&gt;"",G7&lt;TODAY(),H7&lt;&gt;"已完成"),"逾期","")</f>
        <v/>
      </c>
    </row>
    <row r="8" ht="38" customHeight="1">
      <c r="A8" s="82" t="n">
        <v>3</v>
      </c>
      <c r="B8" s="87" t="n">
        <v>121</v>
      </c>
      <c r="C8" s="87" t="inlineStr">
        <is>
          <t>S1–S3 數學科</t>
        </is>
      </c>
      <c r="D8" s="88" t="inlineStr">
        <is>
          <t>數學科長情境題幹閱讀與 Q-V-R-E-R 算理除錯任務融入</t>
        </is>
      </c>
      <c r="E8" s="87" t="inlineStr">
        <is>
          <t>數學科主任</t>
        </is>
      </c>
      <c r="F8" s="95" t="inlineStr">
        <is>
          <t>2026/09/20</t>
        </is>
      </c>
      <c r="G8" s="95" t="inlineStr">
        <is>
          <t>2026/10/25</t>
        </is>
      </c>
      <c r="H8" s="87" t="inlineStr">
        <is>
          <t>進行中</t>
        </is>
      </c>
      <c r="I8" s="88" t="inlineStr">
        <is>
          <t>每單元融入至少 2 道 200 字以上情境題與 AI 驗算任務</t>
        </is>
      </c>
      <c r="J8" s="88" t="inlineStr">
        <is>
          <t>0 題</t>
        </is>
      </c>
      <c r="K8" s="88" t="inlineStr">
        <is>
          <t>8 題</t>
        </is>
      </c>
      <c r="L8" s="48" t="str"/>
      <c r="M8" s="97">
        <f>IF(AND(G8&lt;&gt;"",G8&lt;TODAY(),H8&lt;&gt;"已完成"),"逾期","")</f>
        <v/>
      </c>
    </row>
    <row r="9" ht="38" customHeight="1">
      <c r="A9" s="82" t="n">
        <v>4</v>
      </c>
      <c r="B9" s="87" t="n">
        <v>169</v>
      </c>
      <c r="C9" s="87" t="inlineStr">
        <is>
          <t>S1–S3 科學科</t>
        </is>
      </c>
      <c r="D9" s="88" t="inlineStr">
        <is>
          <t>科學實驗課 3D 專注（無裝置區）與 CER 論證報告常態化</t>
        </is>
      </c>
      <c r="E9" s="87" t="inlineStr">
        <is>
          <t>科學科主任</t>
        </is>
      </c>
      <c r="F9" s="95" t="inlineStr">
        <is>
          <t>2026/09/20</t>
        </is>
      </c>
      <c r="G9" s="95" t="inlineStr">
        <is>
          <t>2026/10/25</t>
        </is>
      </c>
      <c r="H9" s="87" t="inlineStr">
        <is>
          <t>進行中</t>
        </is>
      </c>
      <c r="I9" s="88" t="inlineStr">
        <is>
          <t>實驗課數位分心率降至 5% 以下，實驗報告 100% 附手寫數據</t>
        </is>
      </c>
      <c r="J9" s="88" t="inlineStr">
        <is>
          <t>分心率 18%</t>
        </is>
      </c>
      <c r="K9" s="88" t="inlineStr">
        <is>
          <t>&lt; 5%</t>
        </is>
      </c>
      <c r="L9" s="48" t="str"/>
      <c r="M9" s="97">
        <f>IF(AND(G9&lt;&gt;"",G9&lt;TODAY(),H9&lt;&gt;"已完成"),"逾期","")</f>
        <v/>
      </c>
    </row>
    <row r="10" ht="38" customHeight="1">
      <c r="A10" s="82" t="n">
        <v>5</v>
      </c>
      <c r="B10" s="87" t="n">
        <v>217</v>
      </c>
      <c r="C10" s="87" t="inlineStr">
        <is>
          <t>S1–S3 資訊科</t>
        </is>
      </c>
      <c r="D10" s="88" t="inlineStr">
        <is>
          <t>編程教學 Prompt 工程規範與逐行 Code Review 答辯制度</t>
        </is>
      </c>
      <c r="E10" s="87" t="inlineStr">
        <is>
          <t>資訊科主任</t>
        </is>
      </c>
      <c r="F10" s="95" t="inlineStr">
        <is>
          <t>2026/09/20</t>
        </is>
      </c>
      <c r="G10" s="95" t="inlineStr">
        <is>
          <t>2026/10/25</t>
        </is>
      </c>
      <c r="H10" s="87" t="inlineStr">
        <is>
          <t>進行中</t>
        </is>
      </c>
      <c r="I10" s="88" t="inlineStr">
        <is>
          <t>編程考核 100% 納入白盒測試與口頭答辯，防範 Copilot 認知外包</t>
        </is>
      </c>
      <c r="J10" s="88" t="inlineStr">
        <is>
          <t>20%</t>
        </is>
      </c>
      <c r="K10" s="88" t="inlineStr">
        <is>
          <t>100%</t>
        </is>
      </c>
      <c r="L10" s="48" t="str"/>
      <c r="M10" s="97">
        <f>IF(AND(G10&lt;&gt;"",G10&lt;TODAY(),H10&lt;&gt;"已完成"),"逾期","")</f>
        <v/>
      </c>
    </row>
    <row r="11" ht="38" customHeight="1">
      <c r="A11" s="45" t="n">
        <v>6</v>
      </c>
      <c r="B11" s="48" t="str"/>
      <c r="C11" s="48" t="str"/>
      <c r="D11" s="48" t="str"/>
      <c r="E11" s="48" t="str"/>
      <c r="F11" s="92" t="n"/>
      <c r="G11" s="92" t="n"/>
      <c r="H11" s="48" t="inlineStr">
        <is>
          <t>未開始</t>
        </is>
      </c>
      <c r="I11" s="48" t="str"/>
      <c r="J11" s="48" t="str"/>
      <c r="K11" s="48" t="str"/>
      <c r="L11" s="48" t="str"/>
      <c r="M11" s="97">
        <f>IF(AND(G11&lt;&gt;"",G11&lt;TODAY(),H11&lt;&gt;"已完成"),"逾期","")</f>
        <v/>
      </c>
    </row>
    <row r="12" ht="38" customHeight="1">
      <c r="A12" s="45" t="n">
        <v>7</v>
      </c>
      <c r="B12" s="48" t="str"/>
      <c r="C12" s="48" t="str"/>
      <c r="D12" s="48" t="str"/>
      <c r="E12" s="48" t="str"/>
      <c r="F12" s="92" t="n"/>
      <c r="G12" s="92" t="n"/>
      <c r="H12" s="48" t="inlineStr">
        <is>
          <t>未開始</t>
        </is>
      </c>
      <c r="I12" s="48" t="str"/>
      <c r="J12" s="48" t="str"/>
      <c r="K12" s="48" t="str"/>
      <c r="L12" s="48" t="str"/>
      <c r="M12" s="97">
        <f>IF(AND(G12&lt;&gt;"",G12&lt;TODAY(),H12&lt;&gt;"已完成"),"逾期","")</f>
        <v/>
      </c>
    </row>
    <row r="13" ht="38" customHeight="1">
      <c r="A13" s="45" t="n">
        <v>8</v>
      </c>
      <c r="B13" s="48" t="str"/>
      <c r="C13" s="48" t="str"/>
      <c r="D13" s="48" t="str"/>
      <c r="E13" s="48" t="str"/>
      <c r="F13" s="92" t="n"/>
      <c r="G13" s="92" t="n"/>
      <c r="H13" s="48" t="inlineStr">
        <is>
          <t>未開始</t>
        </is>
      </c>
      <c r="I13" s="48" t="str"/>
      <c r="J13" s="48" t="str"/>
      <c r="K13" s="48" t="str"/>
      <c r="L13" s="48" t="str"/>
      <c r="M13" s="97">
        <f>IF(AND(G13&lt;&gt;"",G13&lt;TODAY(),H13&lt;&gt;"已完成"),"逾期","")</f>
        <v/>
      </c>
    </row>
    <row r="14" ht="38" customHeight="1">
      <c r="A14" s="45" t="n">
        <v>9</v>
      </c>
      <c r="B14" s="48" t="str"/>
      <c r="C14" s="48" t="str"/>
      <c r="D14" s="48" t="str"/>
      <c r="E14" s="48" t="str"/>
      <c r="F14" s="92" t="n"/>
      <c r="G14" s="92" t="n"/>
      <c r="H14" s="48" t="inlineStr">
        <is>
          <t>未開始</t>
        </is>
      </c>
      <c r="I14" s="48" t="str"/>
      <c r="J14" s="48" t="str"/>
      <c r="K14" s="48" t="str"/>
      <c r="L14" s="48" t="str"/>
      <c r="M14" s="97">
        <f>IF(AND(G14&lt;&gt;"",G14&lt;TODAY(),H14&lt;&gt;"已完成"),"逾期","")</f>
        <v/>
      </c>
    </row>
    <row r="15" ht="38" customHeight="1">
      <c r="A15" s="45" t="n">
        <v>10</v>
      </c>
      <c r="B15" s="48" t="str"/>
      <c r="C15" s="48" t="str"/>
      <c r="D15" s="48" t="str"/>
      <c r="E15" s="48" t="str"/>
      <c r="F15" s="92" t="n"/>
      <c r="G15" s="92" t="n"/>
      <c r="H15" s="48" t="inlineStr">
        <is>
          <t>未開始</t>
        </is>
      </c>
      <c r="I15" s="48" t="str"/>
      <c r="J15" s="48" t="str"/>
      <c r="K15" s="48" t="str"/>
      <c r="L15" s="48" t="str"/>
      <c r="M15" s="97">
        <f>IF(AND(G15&lt;&gt;"",G15&lt;TODAY(),H15&lt;&gt;"已完成"),"逾期","")</f>
        <v/>
      </c>
    </row>
    <row r="16" ht="38" customHeight="1">
      <c r="A16" s="45" t="n">
        <v>11</v>
      </c>
      <c r="B16" s="48" t="str"/>
      <c r="C16" s="48" t="str"/>
      <c r="D16" s="48" t="str"/>
      <c r="E16" s="48" t="str"/>
      <c r="F16" s="92" t="n"/>
      <c r="G16" s="92" t="n"/>
      <c r="H16" s="48" t="inlineStr">
        <is>
          <t>未開始</t>
        </is>
      </c>
      <c r="I16" s="48" t="str"/>
      <c r="J16" s="48" t="str"/>
      <c r="K16" s="48" t="str"/>
      <c r="L16" s="48" t="str"/>
      <c r="M16" s="97">
        <f>IF(AND(G16&lt;&gt;"",G16&lt;TODAY(),H16&lt;&gt;"已完成"),"逾期","")</f>
        <v/>
      </c>
    </row>
    <row r="17" ht="38" customHeight="1">
      <c r="A17" s="45" t="n">
        <v>12</v>
      </c>
      <c r="B17" s="48" t="str"/>
      <c r="C17" s="48" t="str"/>
      <c r="D17" s="48" t="str"/>
      <c r="E17" s="48" t="str"/>
      <c r="F17" s="92" t="n"/>
      <c r="G17" s="92" t="n"/>
      <c r="H17" s="48" t="inlineStr">
        <is>
          <t>未開始</t>
        </is>
      </c>
      <c r="I17" s="48" t="str"/>
      <c r="J17" s="48" t="str"/>
      <c r="K17" s="48" t="str"/>
      <c r="L17" s="48" t="str"/>
      <c r="M17" s="97">
        <f>IF(AND(G17&lt;&gt;"",G17&lt;TODAY(),H17&lt;&gt;"已完成"),"逾期","")</f>
        <v/>
      </c>
    </row>
    <row r="18" ht="38" customHeight="1">
      <c r="A18" s="45" t="n">
        <v>13</v>
      </c>
      <c r="B18" s="48" t="str"/>
      <c r="C18" s="48" t="str"/>
      <c r="D18" s="48" t="str"/>
      <c r="E18" s="48" t="str"/>
      <c r="F18" s="92" t="n"/>
      <c r="G18" s="92" t="n"/>
      <c r="H18" s="48" t="inlineStr">
        <is>
          <t>未開始</t>
        </is>
      </c>
      <c r="I18" s="48" t="str"/>
      <c r="J18" s="48" t="str"/>
      <c r="K18" s="48" t="str"/>
      <c r="L18" s="48" t="str"/>
      <c r="M18" s="97">
        <f>IF(AND(G18&lt;&gt;"",G18&lt;TODAY(),H18&lt;&gt;"已完成"),"逾期","")</f>
        <v/>
      </c>
    </row>
    <row r="19" ht="38" customHeight="1">
      <c r="A19" s="45" t="n">
        <v>14</v>
      </c>
      <c r="B19" s="48" t="str"/>
      <c r="C19" s="48" t="str"/>
      <c r="D19" s="48" t="str"/>
      <c r="E19" s="48" t="str"/>
      <c r="F19" s="92" t="n"/>
      <c r="G19" s="92" t="n"/>
      <c r="H19" s="48" t="inlineStr">
        <is>
          <t>未開始</t>
        </is>
      </c>
      <c r="I19" s="48" t="str"/>
      <c r="J19" s="48" t="str"/>
      <c r="K19" s="48" t="str"/>
      <c r="L19" s="48" t="str"/>
      <c r="M19" s="97">
        <f>IF(AND(G19&lt;&gt;"",G19&lt;TODAY(),H19&lt;&gt;"已完成"),"逾期","")</f>
        <v/>
      </c>
    </row>
    <row r="20" ht="38" customHeight="1">
      <c r="A20" s="45" t="n">
        <v>15</v>
      </c>
      <c r="B20" s="48" t="str"/>
      <c r="C20" s="48" t="str"/>
      <c r="D20" s="48" t="str"/>
      <c r="E20" s="48" t="str"/>
      <c r="F20" s="92" t="n"/>
      <c r="G20" s="92" t="n"/>
      <c r="H20" s="48" t="inlineStr">
        <is>
          <t>未開始</t>
        </is>
      </c>
      <c r="I20" s="48" t="str"/>
      <c r="J20" s="48" t="str"/>
      <c r="K20" s="48" t="str"/>
      <c r="L20" s="48" t="str"/>
      <c r="M20" s="97">
        <f>IF(AND(G20&lt;&gt;"",G20&lt;TODAY(),H20&lt;&gt;"已完成"),"逾期","")</f>
        <v/>
      </c>
    </row>
    <row r="21" ht="38" customHeight="1">
      <c r="A21" s="45" t="n">
        <v>16</v>
      </c>
      <c r="B21" s="48" t="str"/>
      <c r="C21" s="48" t="str"/>
      <c r="D21" s="48" t="str"/>
      <c r="E21" s="48" t="str"/>
      <c r="F21" s="92" t="n"/>
      <c r="G21" s="92" t="n"/>
      <c r="H21" s="48" t="inlineStr">
        <is>
          <t>未開始</t>
        </is>
      </c>
      <c r="I21" s="48" t="str"/>
      <c r="J21" s="48" t="str"/>
      <c r="K21" s="48" t="str"/>
      <c r="L21" s="48" t="str"/>
      <c r="M21" s="97">
        <f>IF(AND(G21&lt;&gt;"",G21&lt;TODAY(),H21&lt;&gt;"已完成"),"逾期","")</f>
        <v/>
      </c>
    </row>
    <row r="22" ht="38" customHeight="1">
      <c r="A22" s="45" t="n">
        <v>17</v>
      </c>
      <c r="B22" s="48" t="str"/>
      <c r="C22" s="48" t="str"/>
      <c r="D22" s="48" t="str"/>
      <c r="E22" s="48" t="str"/>
      <c r="F22" s="92" t="n"/>
      <c r="G22" s="92" t="n"/>
      <c r="H22" s="48" t="inlineStr">
        <is>
          <t>未開始</t>
        </is>
      </c>
      <c r="I22" s="48" t="str"/>
      <c r="J22" s="48" t="str"/>
      <c r="K22" s="48" t="str"/>
      <c r="L22" s="48" t="str"/>
      <c r="M22" s="97">
        <f>IF(AND(G22&lt;&gt;"",G22&lt;TODAY(),H22&lt;&gt;"已完成"),"逾期","")</f>
        <v/>
      </c>
    </row>
    <row r="23" ht="38" customHeight="1">
      <c r="A23" s="45" t="n">
        <v>18</v>
      </c>
      <c r="B23" s="48" t="str"/>
      <c r="C23" s="48" t="str"/>
      <c r="D23" s="48" t="str"/>
      <c r="E23" s="48" t="str"/>
      <c r="F23" s="92" t="n"/>
      <c r="G23" s="92" t="n"/>
      <c r="H23" s="48" t="inlineStr">
        <is>
          <t>未開始</t>
        </is>
      </c>
      <c r="I23" s="48" t="str"/>
      <c r="J23" s="48" t="str"/>
      <c r="K23" s="48" t="str"/>
      <c r="L23" s="48" t="str"/>
      <c r="M23" s="97">
        <f>IF(AND(G23&lt;&gt;"",G23&lt;TODAY(),H23&lt;&gt;"已完成"),"逾期","")</f>
        <v/>
      </c>
    </row>
    <row r="24" ht="38" customHeight="1">
      <c r="A24" s="45" t="n">
        <v>19</v>
      </c>
      <c r="B24" s="48" t="str"/>
      <c r="C24" s="48" t="str"/>
      <c r="D24" s="48" t="str"/>
      <c r="E24" s="48" t="str"/>
      <c r="F24" s="92" t="n"/>
      <c r="G24" s="92" t="n"/>
      <c r="H24" s="48" t="inlineStr">
        <is>
          <t>未開始</t>
        </is>
      </c>
      <c r="I24" s="48" t="str"/>
      <c r="J24" s="48" t="str"/>
      <c r="K24" s="48" t="str"/>
      <c r="L24" s="48" t="str"/>
      <c r="M24" s="97">
        <f>IF(AND(G24&lt;&gt;"",G24&lt;TODAY(),H24&lt;&gt;"已完成"),"逾期","")</f>
        <v/>
      </c>
    </row>
    <row r="25" ht="38" customHeight="1">
      <c r="A25" s="45" t="n">
        <v>20</v>
      </c>
      <c r="B25" s="48" t="str"/>
      <c r="C25" s="48" t="str"/>
      <c r="D25" s="48" t="str"/>
      <c r="E25" s="48" t="str"/>
      <c r="F25" s="92" t="n"/>
      <c r="G25" s="92" t="n"/>
      <c r="H25" s="48" t="inlineStr">
        <is>
          <t>未開始</t>
        </is>
      </c>
      <c r="I25" s="48" t="str"/>
      <c r="J25" s="48" t="str"/>
      <c r="K25" s="48" t="str"/>
      <c r="L25" s="48" t="str"/>
      <c r="M25" s="97">
        <f>IF(AND(G25&lt;&gt;"",G25&lt;TODAY(),H25&lt;&gt;"已完成"),"逾期","")</f>
        <v/>
      </c>
    </row>
    <row r="26" ht="38" customHeight="1">
      <c r="A26" s="45" t="n">
        <v>21</v>
      </c>
      <c r="B26" s="48" t="str"/>
      <c r="C26" s="48" t="str"/>
      <c r="D26" s="48" t="str"/>
      <c r="E26" s="48" t="str"/>
      <c r="F26" s="92" t="n"/>
      <c r="G26" s="92" t="n"/>
      <c r="H26" s="48" t="inlineStr">
        <is>
          <t>未開始</t>
        </is>
      </c>
      <c r="I26" s="48" t="str"/>
      <c r="J26" s="48" t="str"/>
      <c r="K26" s="48" t="str"/>
      <c r="L26" s="48" t="str"/>
      <c r="M26" s="97">
        <f>IF(AND(G26&lt;&gt;"",G26&lt;TODAY(),H26&lt;&gt;"已完成"),"逾期","")</f>
        <v/>
      </c>
    </row>
    <row r="27" ht="38" customHeight="1">
      <c r="A27" s="45" t="n">
        <v>22</v>
      </c>
      <c r="B27" s="48" t="str"/>
      <c r="C27" s="48" t="str"/>
      <c r="D27" s="48" t="str"/>
      <c r="E27" s="48" t="str"/>
      <c r="F27" s="92" t="n"/>
      <c r="G27" s="92" t="n"/>
      <c r="H27" s="48" t="inlineStr">
        <is>
          <t>未開始</t>
        </is>
      </c>
      <c r="I27" s="48" t="str"/>
      <c r="J27" s="48" t="str"/>
      <c r="K27" s="48" t="str"/>
      <c r="L27" s="48" t="str"/>
      <c r="M27" s="97">
        <f>IF(AND(G27&lt;&gt;"",G27&lt;TODAY(),H27&lt;&gt;"已完成"),"逾期","")</f>
        <v/>
      </c>
    </row>
    <row r="28" ht="38" customHeight="1">
      <c r="A28" s="45" t="n">
        <v>23</v>
      </c>
      <c r="B28" s="48" t="str"/>
      <c r="C28" s="48" t="str"/>
      <c r="D28" s="48" t="str"/>
      <c r="E28" s="48" t="str"/>
      <c r="F28" s="92" t="n"/>
      <c r="G28" s="92" t="n"/>
      <c r="H28" s="48" t="inlineStr">
        <is>
          <t>未開始</t>
        </is>
      </c>
      <c r="I28" s="48" t="str"/>
      <c r="J28" s="48" t="str"/>
      <c r="K28" s="48" t="str"/>
      <c r="L28" s="48" t="str"/>
      <c r="M28" s="97">
        <f>IF(AND(G28&lt;&gt;"",G28&lt;TODAY(),H28&lt;&gt;"已完成"),"逾期","")</f>
        <v/>
      </c>
    </row>
    <row r="29" ht="38" customHeight="1">
      <c r="A29" s="45" t="n">
        <v>24</v>
      </c>
      <c r="B29" s="48" t="str"/>
      <c r="C29" s="48" t="str"/>
      <c r="D29" s="48" t="str"/>
      <c r="E29" s="48" t="str"/>
      <c r="F29" s="92" t="n"/>
      <c r="G29" s="92" t="n"/>
      <c r="H29" s="48" t="inlineStr">
        <is>
          <t>未開始</t>
        </is>
      </c>
      <c r="I29" s="48" t="str"/>
      <c r="J29" s="48" t="str"/>
      <c r="K29" s="48" t="str"/>
      <c r="L29" s="48" t="str"/>
      <c r="M29" s="97">
        <f>IF(AND(G29&lt;&gt;"",G29&lt;TODAY(),H29&lt;&gt;"已完成"),"逾期","")</f>
        <v/>
      </c>
    </row>
    <row r="30" ht="38" customHeight="1">
      <c r="A30" s="45" t="n">
        <v>25</v>
      </c>
      <c r="B30" s="48" t="str"/>
      <c r="C30" s="48" t="str"/>
      <c r="D30" s="48" t="str"/>
      <c r="E30" s="48" t="str"/>
      <c r="F30" s="92" t="n"/>
      <c r="G30" s="92" t="n"/>
      <c r="H30" s="48" t="inlineStr">
        <is>
          <t>未開始</t>
        </is>
      </c>
      <c r="I30" s="48" t="str"/>
      <c r="J30" s="48" t="str"/>
      <c r="K30" s="48" t="str"/>
      <c r="L30" s="48" t="str"/>
      <c r="M30" s="97">
        <f>IF(AND(G30&lt;&gt;"",G30&lt;TODAY(),H30&lt;&gt;"已完成"),"逾期","")</f>
        <v/>
      </c>
    </row>
    <row r="31" ht="38" customHeight="1">
      <c r="A31" s="45" t="n">
        <v>26</v>
      </c>
      <c r="B31" s="48" t="str"/>
      <c r="C31" s="48" t="str"/>
      <c r="D31" s="48" t="str"/>
      <c r="E31" s="48" t="str"/>
      <c r="F31" s="92" t="n"/>
      <c r="G31" s="92" t="n"/>
      <c r="H31" s="48" t="inlineStr">
        <is>
          <t>未開始</t>
        </is>
      </c>
      <c r="I31" s="48" t="str"/>
      <c r="J31" s="48" t="str"/>
      <c r="K31" s="48" t="str"/>
      <c r="L31" s="48" t="str"/>
      <c r="M31" s="97">
        <f>IF(AND(G31&lt;&gt;"",G31&lt;TODAY(),H31&lt;&gt;"已完成"),"逾期","")</f>
        <v/>
      </c>
    </row>
    <row r="32" ht="38" customHeight="1">
      <c r="A32" s="45" t="n">
        <v>27</v>
      </c>
      <c r="B32" s="48" t="str"/>
      <c r="C32" s="48" t="str"/>
      <c r="D32" s="48" t="str"/>
      <c r="E32" s="48" t="str"/>
      <c r="F32" s="92" t="n"/>
      <c r="G32" s="92" t="n"/>
      <c r="H32" s="48" t="inlineStr">
        <is>
          <t>未開始</t>
        </is>
      </c>
      <c r="I32" s="48" t="str"/>
      <c r="J32" s="48" t="str"/>
      <c r="K32" s="48" t="str"/>
      <c r="L32" s="48" t="str"/>
      <c r="M32" s="97">
        <f>IF(AND(G32&lt;&gt;"",G32&lt;TODAY(),H32&lt;&gt;"已完成"),"逾期","")</f>
        <v/>
      </c>
    </row>
    <row r="33" ht="38" customHeight="1">
      <c r="A33" s="45" t="n">
        <v>28</v>
      </c>
      <c r="B33" s="48" t="str"/>
      <c r="C33" s="48" t="str"/>
      <c r="D33" s="48" t="str"/>
      <c r="E33" s="48" t="str"/>
      <c r="F33" s="92" t="n"/>
      <c r="G33" s="92" t="n"/>
      <c r="H33" s="48" t="inlineStr">
        <is>
          <t>未開始</t>
        </is>
      </c>
      <c r="I33" s="48" t="str"/>
      <c r="J33" s="48" t="str"/>
      <c r="K33" s="48" t="str"/>
      <c r="L33" s="48" t="str"/>
      <c r="M33" s="97">
        <f>IF(AND(G33&lt;&gt;"",G33&lt;TODAY(),H33&lt;&gt;"已完成"),"逾期","")</f>
        <v/>
      </c>
    </row>
    <row r="34" ht="38" customHeight="1">
      <c r="A34" s="45" t="n">
        <v>29</v>
      </c>
      <c r="B34" s="48" t="str"/>
      <c r="C34" s="48" t="str"/>
      <c r="D34" s="48" t="str"/>
      <c r="E34" s="48" t="str"/>
      <c r="F34" s="92" t="n"/>
      <c r="G34" s="92" t="n"/>
      <c r="H34" s="48" t="inlineStr">
        <is>
          <t>未開始</t>
        </is>
      </c>
      <c r="I34" s="48" t="str"/>
      <c r="J34" s="48" t="str"/>
      <c r="K34" s="48" t="str"/>
      <c r="L34" s="48" t="str"/>
      <c r="M34" s="97">
        <f>IF(AND(G34&lt;&gt;"",G34&lt;TODAY(),H34&lt;&gt;"已完成"),"逾期","")</f>
        <v/>
      </c>
    </row>
    <row r="35" ht="38" customHeight="1">
      <c r="A35" s="45" t="n">
        <v>30</v>
      </c>
      <c r="B35" s="48" t="str"/>
      <c r="C35" s="48" t="str"/>
      <c r="D35" s="48" t="str"/>
      <c r="E35" s="48" t="str"/>
      <c r="F35" s="92" t="n"/>
      <c r="G35" s="92" t="n"/>
      <c r="H35" s="48" t="inlineStr">
        <is>
          <t>未開始</t>
        </is>
      </c>
      <c r="I35" s="48" t="str"/>
      <c r="J35" s="48" t="str"/>
      <c r="K35" s="48" t="str"/>
      <c r="L35" s="48" t="str"/>
      <c r="M35" s="97">
        <f>IF(AND(G35&lt;&gt;"",G35&lt;TODAY(),H35&lt;&gt;"已完成"),"逾期","")</f>
        <v/>
      </c>
    </row>
    <row r="36" ht="38" customHeight="1">
      <c r="A36" s="45" t="n">
        <v>31</v>
      </c>
      <c r="B36" s="48" t="str"/>
      <c r="C36" s="48" t="str"/>
      <c r="D36" s="48" t="str"/>
      <c r="E36" s="48" t="str"/>
      <c r="F36" s="92" t="n"/>
      <c r="G36" s="92" t="n"/>
      <c r="H36" s="48" t="inlineStr">
        <is>
          <t>未開始</t>
        </is>
      </c>
      <c r="I36" s="48" t="str"/>
      <c r="J36" s="48" t="str"/>
      <c r="K36" s="48" t="str"/>
      <c r="L36" s="48" t="str"/>
      <c r="M36" s="97">
        <f>IF(AND(G36&lt;&gt;"",G36&lt;TODAY(),H36&lt;&gt;"已完成"),"逾期","")</f>
        <v/>
      </c>
    </row>
    <row r="37" ht="38" customHeight="1">
      <c r="A37" s="45" t="n">
        <v>32</v>
      </c>
      <c r="B37" s="48" t="str"/>
      <c r="C37" s="48" t="str"/>
      <c r="D37" s="48" t="str"/>
      <c r="E37" s="48" t="str"/>
      <c r="F37" s="92" t="n"/>
      <c r="G37" s="92" t="n"/>
      <c r="H37" s="48" t="inlineStr">
        <is>
          <t>未開始</t>
        </is>
      </c>
      <c r="I37" s="48" t="str"/>
      <c r="J37" s="48" t="str"/>
      <c r="K37" s="48" t="str"/>
      <c r="L37" s="48" t="str"/>
      <c r="M37" s="97">
        <f>IF(AND(G37&lt;&gt;"",G37&lt;TODAY(),H37&lt;&gt;"已完成"),"逾期","")</f>
        <v/>
      </c>
    </row>
    <row r="38" ht="38" customHeight="1">
      <c r="A38" s="45" t="n">
        <v>33</v>
      </c>
      <c r="B38" s="48" t="str"/>
      <c r="C38" s="48" t="str"/>
      <c r="D38" s="48" t="str"/>
      <c r="E38" s="48" t="str"/>
      <c r="F38" s="92" t="n"/>
      <c r="G38" s="92" t="n"/>
      <c r="H38" s="48" t="inlineStr">
        <is>
          <t>未開始</t>
        </is>
      </c>
      <c r="I38" s="48" t="str"/>
      <c r="J38" s="48" t="str"/>
      <c r="K38" s="48" t="str"/>
      <c r="L38" s="48" t="str"/>
      <c r="M38" s="97">
        <f>IF(AND(G38&lt;&gt;"",G38&lt;TODAY(),H38&lt;&gt;"已完成"),"逾期","")</f>
        <v/>
      </c>
    </row>
    <row r="39" ht="38" customHeight="1">
      <c r="A39" s="45" t="n">
        <v>34</v>
      </c>
      <c r="B39" s="48" t="str"/>
      <c r="C39" s="48" t="str"/>
      <c r="D39" s="48" t="str"/>
      <c r="E39" s="48" t="str"/>
      <c r="F39" s="92" t="n"/>
      <c r="G39" s="92" t="n"/>
      <c r="H39" s="48" t="inlineStr">
        <is>
          <t>未開始</t>
        </is>
      </c>
      <c r="I39" s="48" t="str"/>
      <c r="J39" s="48" t="str"/>
      <c r="K39" s="48" t="str"/>
      <c r="L39" s="48" t="str"/>
      <c r="M39" s="97">
        <f>IF(AND(G39&lt;&gt;"",G39&lt;TODAY(),H39&lt;&gt;"已完成"),"逾期","")</f>
        <v/>
      </c>
    </row>
    <row r="40" ht="38" customHeight="1">
      <c r="A40" s="45" t="n">
        <v>35</v>
      </c>
      <c r="B40" s="48" t="str"/>
      <c r="C40" s="48" t="str"/>
      <c r="D40" s="48" t="str"/>
      <c r="E40" s="48" t="str"/>
      <c r="F40" s="92" t="n"/>
      <c r="G40" s="92" t="n"/>
      <c r="H40" s="48" t="inlineStr">
        <is>
          <t>未開始</t>
        </is>
      </c>
      <c r="I40" s="48" t="str"/>
      <c r="J40" s="48" t="str"/>
      <c r="K40" s="48" t="str"/>
      <c r="L40" s="48" t="str"/>
      <c r="M40" s="97">
        <f>IF(AND(G40&lt;&gt;"",G40&lt;TODAY(),H40&lt;&gt;"已完成"),"逾期","")</f>
        <v/>
      </c>
    </row>
    <row r="41" ht="38" customHeight="1">
      <c r="A41" s="45" t="n">
        <v>36</v>
      </c>
      <c r="B41" s="48" t="str"/>
      <c r="C41" s="48" t="str"/>
      <c r="D41" s="48" t="str"/>
      <c r="E41" s="48" t="str"/>
      <c r="F41" s="92" t="n"/>
      <c r="G41" s="92" t="n"/>
      <c r="H41" s="48" t="inlineStr">
        <is>
          <t>未開始</t>
        </is>
      </c>
      <c r="I41" s="48" t="str"/>
      <c r="J41" s="48" t="str"/>
      <c r="K41" s="48" t="str"/>
      <c r="L41" s="48" t="str"/>
      <c r="M41" s="97">
        <f>IF(AND(G41&lt;&gt;"",G41&lt;TODAY(),H41&lt;&gt;"已完成"),"逾期","")</f>
        <v/>
      </c>
    </row>
    <row r="42" ht="38" customHeight="1">
      <c r="A42" s="45" t="n">
        <v>37</v>
      </c>
      <c r="B42" s="48" t="str"/>
      <c r="C42" s="48" t="str"/>
      <c r="D42" s="48" t="str"/>
      <c r="E42" s="48" t="str"/>
      <c r="F42" s="92" t="n"/>
      <c r="G42" s="92" t="n"/>
      <c r="H42" s="48" t="inlineStr">
        <is>
          <t>未開始</t>
        </is>
      </c>
      <c r="I42" s="48" t="str"/>
      <c r="J42" s="48" t="str"/>
      <c r="K42" s="48" t="str"/>
      <c r="L42" s="48" t="str"/>
      <c r="M42" s="97">
        <f>IF(AND(G42&lt;&gt;"",G42&lt;TODAY(),H42&lt;&gt;"已完成"),"逾期","")</f>
        <v/>
      </c>
    </row>
    <row r="43" ht="38" customHeight="1">
      <c r="A43" s="45" t="n">
        <v>38</v>
      </c>
      <c r="B43" s="48" t="str"/>
      <c r="C43" s="48" t="str"/>
      <c r="D43" s="48" t="str"/>
      <c r="E43" s="48" t="str"/>
      <c r="F43" s="92" t="n"/>
      <c r="G43" s="92" t="n"/>
      <c r="H43" s="48" t="inlineStr">
        <is>
          <t>未開始</t>
        </is>
      </c>
      <c r="I43" s="48" t="str"/>
      <c r="J43" s="48" t="str"/>
      <c r="K43" s="48" t="str"/>
      <c r="L43" s="48" t="str"/>
      <c r="M43" s="97">
        <f>IF(AND(G43&lt;&gt;"",G43&lt;TODAY(),H43&lt;&gt;"已完成"),"逾期","")</f>
        <v/>
      </c>
    </row>
    <row r="44" ht="38" customHeight="1">
      <c r="A44" s="45" t="n">
        <v>39</v>
      </c>
      <c r="B44" s="48" t="str"/>
      <c r="C44" s="48" t="str"/>
      <c r="D44" s="48" t="str"/>
      <c r="E44" s="48" t="str"/>
      <c r="F44" s="92" t="n"/>
      <c r="G44" s="92" t="n"/>
      <c r="H44" s="48" t="inlineStr">
        <is>
          <t>未開始</t>
        </is>
      </c>
      <c r="I44" s="48" t="str"/>
      <c r="J44" s="48" t="str"/>
      <c r="K44" s="48" t="str"/>
      <c r="L44" s="48" t="str"/>
      <c r="M44" s="97">
        <f>IF(AND(G44&lt;&gt;"",G44&lt;TODAY(),H44&lt;&gt;"已完成"),"逾期","")</f>
        <v/>
      </c>
    </row>
    <row r="45" ht="38" customHeight="1">
      <c r="A45" s="45" t="n">
        <v>40</v>
      </c>
      <c r="B45" s="48" t="str"/>
      <c r="C45" s="48" t="str"/>
      <c r="D45" s="48" t="str"/>
      <c r="E45" s="48" t="str"/>
      <c r="F45" s="92" t="n"/>
      <c r="G45" s="92" t="n"/>
      <c r="H45" s="48" t="inlineStr">
        <is>
          <t>未開始</t>
        </is>
      </c>
      <c r="I45" s="48" t="str"/>
      <c r="J45" s="48" t="str"/>
      <c r="K45" s="48" t="str"/>
      <c r="L45" s="48" t="str"/>
      <c r="M45" s="97">
        <f>IF(AND(G45&lt;&gt;"",G45&lt;TODAY(),H45&lt;&gt;"已完成"),"逾期","")</f>
        <v/>
      </c>
    </row>
    <row r="46" ht="38" customHeight="1">
      <c r="A46" s="45" t="n">
        <v>41</v>
      </c>
      <c r="B46" s="48" t="str"/>
      <c r="C46" s="48" t="str"/>
      <c r="D46" s="48" t="str"/>
      <c r="E46" s="48" t="str"/>
      <c r="F46" s="92" t="n"/>
      <c r="G46" s="92" t="n"/>
      <c r="H46" s="48" t="inlineStr">
        <is>
          <t>未開始</t>
        </is>
      </c>
      <c r="I46" s="48" t="str"/>
      <c r="J46" s="48" t="str"/>
      <c r="K46" s="48" t="str"/>
      <c r="L46" s="48" t="str"/>
      <c r="M46" s="97">
        <f>IF(AND(G46&lt;&gt;"",G46&lt;TODAY(),H46&lt;&gt;"已完成"),"逾期","")</f>
        <v/>
      </c>
    </row>
    <row r="47" ht="38" customHeight="1">
      <c r="A47" s="45" t="n">
        <v>42</v>
      </c>
      <c r="B47" s="48" t="str"/>
      <c r="C47" s="48" t="str"/>
      <c r="D47" s="48" t="str"/>
      <c r="E47" s="48" t="str"/>
      <c r="F47" s="92" t="n"/>
      <c r="G47" s="92" t="n"/>
      <c r="H47" s="48" t="inlineStr">
        <is>
          <t>未開始</t>
        </is>
      </c>
      <c r="I47" s="48" t="str"/>
      <c r="J47" s="48" t="str"/>
      <c r="K47" s="48" t="str"/>
      <c r="L47" s="48" t="str"/>
      <c r="M47" s="97">
        <f>IF(AND(G47&lt;&gt;"",G47&lt;TODAY(),H47&lt;&gt;"已完成"),"逾期","")</f>
        <v/>
      </c>
    </row>
    <row r="48" ht="38" customHeight="1">
      <c r="A48" s="45" t="n">
        <v>43</v>
      </c>
      <c r="B48" s="48" t="str"/>
      <c r="C48" s="48" t="str"/>
      <c r="D48" s="48" t="str"/>
      <c r="E48" s="48" t="str"/>
      <c r="F48" s="92" t="n"/>
      <c r="G48" s="92" t="n"/>
      <c r="H48" s="48" t="inlineStr">
        <is>
          <t>未開始</t>
        </is>
      </c>
      <c r="I48" s="48" t="str"/>
      <c r="J48" s="48" t="str"/>
      <c r="K48" s="48" t="str"/>
      <c r="L48" s="48" t="str"/>
      <c r="M48" s="97">
        <f>IF(AND(G48&lt;&gt;"",G48&lt;TODAY(),H48&lt;&gt;"已完成"),"逾期","")</f>
        <v/>
      </c>
    </row>
    <row r="49" ht="38" customHeight="1">
      <c r="A49" s="45" t="n">
        <v>44</v>
      </c>
      <c r="B49" s="48" t="str"/>
      <c r="C49" s="48" t="str"/>
      <c r="D49" s="48" t="str"/>
      <c r="E49" s="48" t="str"/>
      <c r="F49" s="92" t="n"/>
      <c r="G49" s="92" t="n"/>
      <c r="H49" s="48" t="inlineStr">
        <is>
          <t>未開始</t>
        </is>
      </c>
      <c r="I49" s="48" t="str"/>
      <c r="J49" s="48" t="str"/>
      <c r="K49" s="48" t="str"/>
      <c r="L49" s="48" t="str"/>
      <c r="M49" s="97">
        <f>IF(AND(G49&lt;&gt;"",G49&lt;TODAY(),H49&lt;&gt;"已完成"),"逾期","")</f>
        <v/>
      </c>
    </row>
    <row r="50" ht="38" customHeight="1">
      <c r="A50" s="45" t="n">
        <v>45</v>
      </c>
      <c r="B50" s="48" t="str"/>
      <c r="C50" s="48" t="str"/>
      <c r="D50" s="48" t="str"/>
      <c r="E50" s="48" t="str"/>
      <c r="F50" s="92" t="n"/>
      <c r="G50" s="92" t="n"/>
      <c r="H50" s="48" t="inlineStr">
        <is>
          <t>未開始</t>
        </is>
      </c>
      <c r="I50" s="48" t="str"/>
      <c r="J50" s="48" t="str"/>
      <c r="K50" s="48" t="str"/>
      <c r="L50" s="48" t="str"/>
      <c r="M50" s="97">
        <f>IF(AND(G50&lt;&gt;"",G50&lt;TODAY(),H50&lt;&gt;"已完成"),"逾期","")</f>
        <v/>
      </c>
    </row>
    <row r="51" ht="38" customHeight="1">
      <c r="A51" s="45" t="n">
        <v>46</v>
      </c>
      <c r="B51" s="48" t="str"/>
      <c r="C51" s="48" t="str"/>
      <c r="D51" s="48" t="str"/>
      <c r="E51" s="48" t="str"/>
      <c r="F51" s="92" t="n"/>
      <c r="G51" s="92" t="n"/>
      <c r="H51" s="48" t="inlineStr">
        <is>
          <t>未開始</t>
        </is>
      </c>
      <c r="I51" s="48" t="str"/>
      <c r="J51" s="48" t="str"/>
      <c r="K51" s="48" t="str"/>
      <c r="L51" s="48" t="str"/>
      <c r="M51" s="97">
        <f>IF(AND(G51&lt;&gt;"",G51&lt;TODAY(),H51&lt;&gt;"已完成"),"逾期","")</f>
        <v/>
      </c>
    </row>
    <row r="52" ht="38" customHeight="1">
      <c r="A52" s="45" t="n">
        <v>47</v>
      </c>
      <c r="B52" s="48" t="str"/>
      <c r="C52" s="48" t="str"/>
      <c r="D52" s="48" t="str"/>
      <c r="E52" s="48" t="str"/>
      <c r="F52" s="92" t="n"/>
      <c r="G52" s="92" t="n"/>
      <c r="H52" s="48" t="inlineStr">
        <is>
          <t>未開始</t>
        </is>
      </c>
      <c r="I52" s="48" t="str"/>
      <c r="J52" s="48" t="str"/>
      <c r="K52" s="48" t="str"/>
      <c r="L52" s="48" t="str"/>
      <c r="M52" s="97">
        <f>IF(AND(G52&lt;&gt;"",G52&lt;TODAY(),H52&lt;&gt;"已完成"),"逾期","")</f>
        <v/>
      </c>
    </row>
    <row r="53" ht="38" customHeight="1">
      <c r="A53" s="45" t="n">
        <v>48</v>
      </c>
      <c r="B53" s="48" t="str"/>
      <c r="C53" s="48" t="str"/>
      <c r="D53" s="48" t="str"/>
      <c r="E53" s="48" t="str"/>
      <c r="F53" s="92" t="n"/>
      <c r="G53" s="92" t="n"/>
      <c r="H53" s="48" t="inlineStr">
        <is>
          <t>未開始</t>
        </is>
      </c>
      <c r="I53" s="48" t="str"/>
      <c r="J53" s="48" t="str"/>
      <c r="K53" s="48" t="str"/>
      <c r="L53" s="48" t="str"/>
      <c r="M53" s="97">
        <f>IF(AND(G53&lt;&gt;"",G53&lt;TODAY(),H53&lt;&gt;"已完成"),"逾期","")</f>
        <v/>
      </c>
    </row>
    <row r="54" ht="38" customHeight="1">
      <c r="A54" s="45" t="n">
        <v>49</v>
      </c>
      <c r="B54" s="48" t="str"/>
      <c r="C54" s="48" t="str"/>
      <c r="D54" s="48" t="str"/>
      <c r="E54" s="48" t="str"/>
      <c r="F54" s="92" t="n"/>
      <c r="G54" s="92" t="n"/>
      <c r="H54" s="48" t="inlineStr">
        <is>
          <t>未開始</t>
        </is>
      </c>
      <c r="I54" s="48" t="str"/>
      <c r="J54" s="48" t="str"/>
      <c r="K54" s="48" t="str"/>
      <c r="L54" s="48" t="str"/>
      <c r="M54" s="97">
        <f>IF(AND(G54&lt;&gt;"",G54&lt;TODAY(),H54&lt;&gt;"已完成"),"逾期","")</f>
        <v/>
      </c>
    </row>
    <row r="55" ht="38" customHeight="1">
      <c r="A55" s="45" t="n">
        <v>50</v>
      </c>
      <c r="B55" s="48" t="str"/>
      <c r="C55" s="48" t="str"/>
      <c r="D55" s="48" t="str"/>
      <c r="E55" s="48" t="str"/>
      <c r="F55" s="92" t="n"/>
      <c r="G55" s="92" t="n"/>
      <c r="H55" s="48" t="inlineStr">
        <is>
          <t>未開始</t>
        </is>
      </c>
      <c r="I55" s="48" t="str"/>
      <c r="J55" s="48" t="str"/>
      <c r="K55" s="48" t="str"/>
      <c r="L55" s="48" t="str"/>
      <c r="M55" s="97">
        <f>IF(AND(G55&lt;&gt;"",G55&lt;TODAY(),H55&lt;&gt;"已完成"),"逾期","")</f>
        <v/>
      </c>
    </row>
    <row r="56" ht="38" customHeight="1">
      <c r="A56" s="45" t="n">
        <v>51</v>
      </c>
      <c r="B56" s="48" t="str"/>
      <c r="C56" s="48" t="str"/>
      <c r="D56" s="48" t="str"/>
      <c r="E56" s="48" t="str"/>
      <c r="F56" s="92" t="n"/>
      <c r="G56" s="92" t="n"/>
      <c r="H56" s="48" t="inlineStr">
        <is>
          <t>未開始</t>
        </is>
      </c>
      <c r="I56" s="48" t="str"/>
      <c r="J56" s="48" t="str"/>
      <c r="K56" s="48" t="str"/>
      <c r="L56" s="48" t="str"/>
      <c r="M56" s="97">
        <f>IF(AND(G56&lt;&gt;"",G56&lt;TODAY(),H56&lt;&gt;"已完成"),"逾期","")</f>
        <v/>
      </c>
    </row>
    <row r="57" ht="38" customHeight="1">
      <c r="A57" s="45" t="n">
        <v>52</v>
      </c>
      <c r="B57" s="48" t="str"/>
      <c r="C57" s="48" t="str"/>
      <c r="D57" s="48" t="str"/>
      <c r="E57" s="48" t="str"/>
      <c r="F57" s="92" t="n"/>
      <c r="G57" s="92" t="n"/>
      <c r="H57" s="48" t="inlineStr">
        <is>
          <t>未開始</t>
        </is>
      </c>
      <c r="I57" s="48" t="str"/>
      <c r="J57" s="48" t="str"/>
      <c r="K57" s="48" t="str"/>
      <c r="L57" s="48" t="str"/>
      <c r="M57" s="97">
        <f>IF(AND(G57&lt;&gt;"",G57&lt;TODAY(),H57&lt;&gt;"已完成"),"逾期","")</f>
        <v/>
      </c>
    </row>
    <row r="58" ht="38" customHeight="1">
      <c r="A58" s="45" t="n">
        <v>53</v>
      </c>
      <c r="B58" s="48" t="str"/>
      <c r="C58" s="48" t="str"/>
      <c r="D58" s="48" t="str"/>
      <c r="E58" s="48" t="str"/>
      <c r="F58" s="92" t="n"/>
      <c r="G58" s="92" t="n"/>
      <c r="H58" s="48" t="inlineStr">
        <is>
          <t>未開始</t>
        </is>
      </c>
      <c r="I58" s="48" t="str"/>
      <c r="J58" s="48" t="str"/>
      <c r="K58" s="48" t="str"/>
      <c r="L58" s="48" t="str"/>
      <c r="M58" s="97">
        <f>IF(AND(G58&lt;&gt;"",G58&lt;TODAY(),H58&lt;&gt;"已完成"),"逾期","")</f>
        <v/>
      </c>
    </row>
    <row r="59" ht="38" customHeight="1">
      <c r="A59" s="45" t="n">
        <v>54</v>
      </c>
      <c r="B59" s="48" t="str"/>
      <c r="C59" s="48" t="str"/>
      <c r="D59" s="48" t="str"/>
      <c r="E59" s="48" t="str"/>
      <c r="F59" s="92" t="n"/>
      <c r="G59" s="92" t="n"/>
      <c r="H59" s="48" t="inlineStr">
        <is>
          <t>未開始</t>
        </is>
      </c>
      <c r="I59" s="48" t="str"/>
      <c r="J59" s="48" t="str"/>
      <c r="K59" s="48" t="str"/>
      <c r="L59" s="48" t="str"/>
      <c r="M59" s="97">
        <f>IF(AND(G59&lt;&gt;"",G59&lt;TODAY(),H59&lt;&gt;"已完成"),"逾期","")</f>
        <v/>
      </c>
    </row>
    <row r="60" ht="38" customHeight="1">
      <c r="A60" s="45" t="n">
        <v>55</v>
      </c>
      <c r="B60" s="48" t="str"/>
      <c r="C60" s="48" t="str"/>
      <c r="D60" s="48" t="str"/>
      <c r="E60" s="48" t="str"/>
      <c r="F60" s="92" t="n"/>
      <c r="G60" s="92" t="n"/>
      <c r="H60" s="48" t="inlineStr">
        <is>
          <t>未開始</t>
        </is>
      </c>
      <c r="I60" s="48" t="str"/>
      <c r="J60" s="48" t="str"/>
      <c r="K60" s="48" t="str"/>
      <c r="L60" s="48" t="str"/>
      <c r="M60" s="97">
        <f>IF(AND(G60&lt;&gt;"",G60&lt;TODAY(),H60&lt;&gt;"已完成"),"逾期","")</f>
        <v/>
      </c>
    </row>
    <row r="61" ht="38" customHeight="1">
      <c r="A61" s="45" t="n">
        <v>56</v>
      </c>
      <c r="B61" s="48" t="str"/>
      <c r="C61" s="48" t="str"/>
      <c r="D61" s="48" t="str"/>
      <c r="E61" s="48" t="str"/>
      <c r="F61" s="92" t="n"/>
      <c r="G61" s="92" t="n"/>
      <c r="H61" s="48" t="inlineStr">
        <is>
          <t>未開始</t>
        </is>
      </c>
      <c r="I61" s="48" t="str"/>
      <c r="J61" s="48" t="str"/>
      <c r="K61" s="48" t="str"/>
      <c r="L61" s="48" t="str"/>
      <c r="M61" s="97">
        <f>IF(AND(G61&lt;&gt;"",G61&lt;TODAY(),H61&lt;&gt;"已完成"),"逾期","")</f>
        <v/>
      </c>
    </row>
    <row r="62" ht="38" customHeight="1">
      <c r="A62" s="45" t="n">
        <v>57</v>
      </c>
      <c r="B62" s="48" t="str"/>
      <c r="C62" s="48" t="str"/>
      <c r="D62" s="48" t="str"/>
      <c r="E62" s="48" t="str"/>
      <c r="F62" s="92" t="n"/>
      <c r="G62" s="92" t="n"/>
      <c r="H62" s="48" t="inlineStr">
        <is>
          <t>未開始</t>
        </is>
      </c>
      <c r="I62" s="48" t="str"/>
      <c r="J62" s="48" t="str"/>
      <c r="K62" s="48" t="str"/>
      <c r="L62" s="48" t="str"/>
      <c r="M62" s="97">
        <f>IF(AND(G62&lt;&gt;"",G62&lt;TODAY(),H62&lt;&gt;"已完成"),"逾期","")</f>
        <v/>
      </c>
    </row>
    <row r="63" ht="38" customHeight="1">
      <c r="A63" s="45" t="n">
        <v>58</v>
      </c>
      <c r="B63" s="48" t="str"/>
      <c r="C63" s="48" t="str"/>
      <c r="D63" s="48" t="str"/>
      <c r="E63" s="48" t="str"/>
      <c r="F63" s="92" t="n"/>
      <c r="G63" s="92" t="n"/>
      <c r="H63" s="48" t="inlineStr">
        <is>
          <t>未開始</t>
        </is>
      </c>
      <c r="I63" s="48" t="str"/>
      <c r="J63" s="48" t="str"/>
      <c r="K63" s="48" t="str"/>
      <c r="L63" s="48" t="str"/>
      <c r="M63" s="97">
        <f>IF(AND(G63&lt;&gt;"",G63&lt;TODAY(),H63&lt;&gt;"已完成"),"逾期","")</f>
        <v/>
      </c>
    </row>
    <row r="64" ht="38" customHeight="1">
      <c r="A64" s="45" t="n">
        <v>59</v>
      </c>
      <c r="B64" s="48" t="str"/>
      <c r="C64" s="48" t="str"/>
      <c r="D64" s="48" t="str"/>
      <c r="E64" s="48" t="str"/>
      <c r="F64" s="92" t="n"/>
      <c r="G64" s="92" t="n"/>
      <c r="H64" s="48" t="inlineStr">
        <is>
          <t>未開始</t>
        </is>
      </c>
      <c r="I64" s="48" t="str"/>
      <c r="J64" s="48" t="str"/>
      <c r="K64" s="48" t="str"/>
      <c r="L64" s="48" t="str"/>
      <c r="M64" s="97">
        <f>IF(AND(G64&lt;&gt;"",G64&lt;TODAY(),H64&lt;&gt;"已完成"),"逾期","")</f>
        <v/>
      </c>
    </row>
    <row r="65" ht="38" customHeight="1">
      <c r="A65" s="45" t="n">
        <v>60</v>
      </c>
      <c r="B65" s="48" t="str"/>
      <c r="C65" s="48" t="str"/>
      <c r="D65" s="48" t="str"/>
      <c r="E65" s="48" t="str"/>
      <c r="F65" s="92" t="n"/>
      <c r="G65" s="92" t="n"/>
      <c r="H65" s="48" t="inlineStr">
        <is>
          <t>未開始</t>
        </is>
      </c>
      <c r="I65" s="48" t="str"/>
      <c r="J65" s="48" t="str"/>
      <c r="K65" s="48" t="str"/>
      <c r="L65" s="48" t="str"/>
      <c r="M65" s="97">
        <f>IF(AND(G65&lt;&gt;"",G65&lt;TODAY(),H65&lt;&gt;"已完成"),"逾期","")</f>
        <v/>
      </c>
    </row>
    <row r="66" ht="38" customHeight="1">
      <c r="A66" s="45" t="n">
        <v>61</v>
      </c>
      <c r="B66" s="48" t="str"/>
      <c r="C66" s="48" t="str"/>
      <c r="D66" s="48" t="str"/>
      <c r="E66" s="48" t="str"/>
      <c r="F66" s="92" t="n"/>
      <c r="G66" s="92" t="n"/>
      <c r="H66" s="48" t="inlineStr">
        <is>
          <t>未開始</t>
        </is>
      </c>
      <c r="I66" s="48" t="str"/>
      <c r="J66" s="48" t="str"/>
      <c r="K66" s="48" t="str"/>
      <c r="L66" s="48" t="str"/>
      <c r="M66" s="97">
        <f>IF(AND(G66&lt;&gt;"",G66&lt;TODAY(),H66&lt;&gt;"已完成"),"逾期","")</f>
        <v/>
      </c>
    </row>
    <row r="67" ht="38" customHeight="1">
      <c r="A67" s="45" t="n">
        <v>62</v>
      </c>
      <c r="B67" s="48" t="str"/>
      <c r="C67" s="48" t="str"/>
      <c r="D67" s="48" t="str"/>
      <c r="E67" s="48" t="str"/>
      <c r="F67" s="92" t="n"/>
      <c r="G67" s="92" t="n"/>
      <c r="H67" s="48" t="inlineStr">
        <is>
          <t>未開始</t>
        </is>
      </c>
      <c r="I67" s="48" t="str"/>
      <c r="J67" s="48" t="str"/>
      <c r="K67" s="48" t="str"/>
      <c r="L67" s="48" t="str"/>
      <c r="M67" s="97">
        <f>IF(AND(G67&lt;&gt;"",G67&lt;TODAY(),H67&lt;&gt;"已完成"),"逾期","")</f>
        <v/>
      </c>
    </row>
    <row r="68" ht="38" customHeight="1">
      <c r="A68" s="45" t="n">
        <v>63</v>
      </c>
      <c r="B68" s="48" t="str"/>
      <c r="C68" s="48" t="str"/>
      <c r="D68" s="48" t="str"/>
      <c r="E68" s="48" t="str"/>
      <c r="F68" s="92" t="n"/>
      <c r="G68" s="92" t="n"/>
      <c r="H68" s="48" t="inlineStr">
        <is>
          <t>未開始</t>
        </is>
      </c>
      <c r="I68" s="48" t="str"/>
      <c r="J68" s="48" t="str"/>
      <c r="K68" s="48" t="str"/>
      <c r="L68" s="48" t="str"/>
      <c r="M68" s="97">
        <f>IF(AND(G68&lt;&gt;"",G68&lt;TODAY(),H68&lt;&gt;"已完成"),"逾期","")</f>
        <v/>
      </c>
    </row>
    <row r="69" ht="38" customHeight="1">
      <c r="A69" s="45" t="n">
        <v>64</v>
      </c>
      <c r="B69" s="48" t="str"/>
      <c r="C69" s="48" t="str"/>
      <c r="D69" s="48" t="str"/>
      <c r="E69" s="48" t="str"/>
      <c r="F69" s="92" t="n"/>
      <c r="G69" s="92" t="n"/>
      <c r="H69" s="48" t="inlineStr">
        <is>
          <t>未開始</t>
        </is>
      </c>
      <c r="I69" s="48" t="str"/>
      <c r="J69" s="48" t="str"/>
      <c r="K69" s="48" t="str"/>
      <c r="L69" s="48" t="str"/>
      <c r="M69" s="97">
        <f>IF(AND(G69&lt;&gt;"",G69&lt;TODAY(),H69&lt;&gt;"已完成"),"逾期","")</f>
        <v/>
      </c>
    </row>
    <row r="70" ht="38" customHeight="1">
      <c r="A70" s="45" t="n">
        <v>65</v>
      </c>
      <c r="B70" s="48" t="str"/>
      <c r="C70" s="48" t="str"/>
      <c r="D70" s="48" t="str"/>
      <c r="E70" s="48" t="str"/>
      <c r="F70" s="92" t="n"/>
      <c r="G70" s="92" t="n"/>
      <c r="H70" s="48" t="inlineStr">
        <is>
          <t>未開始</t>
        </is>
      </c>
      <c r="I70" s="48" t="str"/>
      <c r="J70" s="48" t="str"/>
      <c r="K70" s="48" t="str"/>
      <c r="L70" s="48" t="str"/>
      <c r="M70" s="97">
        <f>IF(AND(G70&lt;&gt;"",G70&lt;TODAY(),H70&lt;&gt;"已完成"),"逾期","")</f>
        <v/>
      </c>
    </row>
    <row r="71" ht="38" customHeight="1">
      <c r="A71" s="45" t="n">
        <v>66</v>
      </c>
      <c r="B71" s="48" t="str"/>
      <c r="C71" s="48" t="str"/>
      <c r="D71" s="48" t="str"/>
      <c r="E71" s="48" t="str"/>
      <c r="F71" s="92" t="n"/>
      <c r="G71" s="92" t="n"/>
      <c r="H71" s="48" t="inlineStr">
        <is>
          <t>未開始</t>
        </is>
      </c>
      <c r="I71" s="48" t="str"/>
      <c r="J71" s="48" t="str"/>
      <c r="K71" s="48" t="str"/>
      <c r="L71" s="48" t="str"/>
      <c r="M71" s="97">
        <f>IF(AND(G71&lt;&gt;"",G71&lt;TODAY(),H71&lt;&gt;"已完成"),"逾期","")</f>
        <v/>
      </c>
    </row>
    <row r="72" ht="38" customHeight="1">
      <c r="A72" s="45" t="n">
        <v>67</v>
      </c>
      <c r="B72" s="48" t="str"/>
      <c r="C72" s="48" t="str"/>
      <c r="D72" s="48" t="str"/>
      <c r="E72" s="48" t="str"/>
      <c r="F72" s="92" t="n"/>
      <c r="G72" s="92" t="n"/>
      <c r="H72" s="48" t="inlineStr">
        <is>
          <t>未開始</t>
        </is>
      </c>
      <c r="I72" s="48" t="str"/>
      <c r="J72" s="48" t="str"/>
      <c r="K72" s="48" t="str"/>
      <c r="L72" s="48" t="str"/>
      <c r="M72" s="97">
        <f>IF(AND(G72&lt;&gt;"",G72&lt;TODAY(),H72&lt;&gt;"已完成"),"逾期","")</f>
        <v/>
      </c>
    </row>
    <row r="73" ht="38" customHeight="1">
      <c r="A73" s="45" t="n">
        <v>68</v>
      </c>
      <c r="B73" s="48" t="str"/>
      <c r="C73" s="48" t="str"/>
      <c r="D73" s="48" t="str"/>
      <c r="E73" s="48" t="str"/>
      <c r="F73" s="92" t="n"/>
      <c r="G73" s="92" t="n"/>
      <c r="H73" s="48" t="inlineStr">
        <is>
          <t>未開始</t>
        </is>
      </c>
      <c r="I73" s="48" t="str"/>
      <c r="J73" s="48" t="str"/>
      <c r="K73" s="48" t="str"/>
      <c r="L73" s="48" t="str"/>
      <c r="M73" s="97">
        <f>IF(AND(G73&lt;&gt;"",G73&lt;TODAY(),H73&lt;&gt;"已完成"),"逾期","")</f>
        <v/>
      </c>
    </row>
    <row r="74" ht="38" customHeight="1">
      <c r="A74" s="45" t="n">
        <v>69</v>
      </c>
      <c r="B74" s="48" t="str"/>
      <c r="C74" s="48" t="str"/>
      <c r="D74" s="48" t="str"/>
      <c r="E74" s="48" t="str"/>
      <c r="F74" s="92" t="n"/>
      <c r="G74" s="92" t="n"/>
      <c r="H74" s="48" t="inlineStr">
        <is>
          <t>未開始</t>
        </is>
      </c>
      <c r="I74" s="48" t="str"/>
      <c r="J74" s="48" t="str"/>
      <c r="K74" s="48" t="str"/>
      <c r="L74" s="48" t="str"/>
      <c r="M74" s="97">
        <f>IF(AND(G74&lt;&gt;"",G74&lt;TODAY(),H74&lt;&gt;"已完成"),"逾期","")</f>
        <v/>
      </c>
    </row>
    <row r="75" ht="38" customHeight="1">
      <c r="A75" s="45" t="n">
        <v>70</v>
      </c>
      <c r="B75" s="48" t="str"/>
      <c r="C75" s="48" t="str"/>
      <c r="D75" s="48" t="str"/>
      <c r="E75" s="48" t="str"/>
      <c r="F75" s="92" t="n"/>
      <c r="G75" s="92" t="n"/>
      <c r="H75" s="48" t="inlineStr">
        <is>
          <t>未開始</t>
        </is>
      </c>
      <c r="I75" s="48" t="str"/>
      <c r="J75" s="48" t="str"/>
      <c r="K75" s="48" t="str"/>
      <c r="L75" s="48" t="str"/>
      <c r="M75" s="97">
        <f>IF(AND(G75&lt;&gt;"",G75&lt;TODAY(),H75&lt;&gt;"已完成"),"逾期","")</f>
        <v/>
      </c>
    </row>
    <row r="76" ht="38" customHeight="1">
      <c r="A76" s="45" t="n">
        <v>71</v>
      </c>
      <c r="B76" s="48" t="str"/>
      <c r="C76" s="48" t="str"/>
      <c r="D76" s="48" t="str"/>
      <c r="E76" s="48" t="str"/>
      <c r="F76" s="92" t="n"/>
      <c r="G76" s="92" t="n"/>
      <c r="H76" s="48" t="inlineStr">
        <is>
          <t>未開始</t>
        </is>
      </c>
      <c r="I76" s="48" t="str"/>
      <c r="J76" s="48" t="str"/>
      <c r="K76" s="48" t="str"/>
      <c r="L76" s="48" t="str"/>
      <c r="M76" s="97">
        <f>IF(AND(G76&lt;&gt;"",G76&lt;TODAY(),H76&lt;&gt;"已完成"),"逾期","")</f>
        <v/>
      </c>
    </row>
    <row r="77" ht="38" customHeight="1">
      <c r="A77" s="45" t="n">
        <v>72</v>
      </c>
      <c r="B77" s="48" t="str"/>
      <c r="C77" s="48" t="str"/>
      <c r="D77" s="48" t="str"/>
      <c r="E77" s="48" t="str"/>
      <c r="F77" s="92" t="n"/>
      <c r="G77" s="92" t="n"/>
      <c r="H77" s="48" t="inlineStr">
        <is>
          <t>未開始</t>
        </is>
      </c>
      <c r="I77" s="48" t="str"/>
      <c r="J77" s="48" t="str"/>
      <c r="K77" s="48" t="str"/>
      <c r="L77" s="48" t="str"/>
      <c r="M77" s="97">
        <f>IF(AND(G77&lt;&gt;"",G77&lt;TODAY(),H77&lt;&gt;"已完成"),"逾期","")</f>
        <v/>
      </c>
    </row>
    <row r="78" ht="38" customHeight="1">
      <c r="A78" s="45" t="n">
        <v>73</v>
      </c>
      <c r="B78" s="48" t="str"/>
      <c r="C78" s="48" t="str"/>
      <c r="D78" s="48" t="str"/>
      <c r="E78" s="48" t="str"/>
      <c r="F78" s="92" t="n"/>
      <c r="G78" s="92" t="n"/>
      <c r="H78" s="48" t="inlineStr">
        <is>
          <t>未開始</t>
        </is>
      </c>
      <c r="I78" s="48" t="str"/>
      <c r="J78" s="48" t="str"/>
      <c r="K78" s="48" t="str"/>
      <c r="L78" s="48" t="str"/>
      <c r="M78" s="97">
        <f>IF(AND(G78&lt;&gt;"",G78&lt;TODAY(),H78&lt;&gt;"已完成"),"逾期","")</f>
        <v/>
      </c>
    </row>
    <row r="79" ht="38" customHeight="1">
      <c r="A79" s="45" t="n">
        <v>74</v>
      </c>
      <c r="B79" s="48" t="str"/>
      <c r="C79" s="48" t="str"/>
      <c r="D79" s="48" t="str"/>
      <c r="E79" s="48" t="str"/>
      <c r="F79" s="92" t="n"/>
      <c r="G79" s="92" t="n"/>
      <c r="H79" s="48" t="inlineStr">
        <is>
          <t>未開始</t>
        </is>
      </c>
      <c r="I79" s="48" t="str"/>
      <c r="J79" s="48" t="str"/>
      <c r="K79" s="48" t="str"/>
      <c r="L79" s="48" t="str"/>
      <c r="M79" s="97">
        <f>IF(AND(G79&lt;&gt;"",G79&lt;TODAY(),H79&lt;&gt;"已完成"),"逾期","")</f>
        <v/>
      </c>
    </row>
    <row r="80" ht="38" customHeight="1">
      <c r="A80" s="45" t="n">
        <v>75</v>
      </c>
      <c r="B80" s="48" t="str"/>
      <c r="C80" s="48" t="str"/>
      <c r="D80" s="48" t="str"/>
      <c r="E80" s="48" t="str"/>
      <c r="F80" s="92" t="n"/>
      <c r="G80" s="92" t="n"/>
      <c r="H80" s="48" t="inlineStr">
        <is>
          <t>未開始</t>
        </is>
      </c>
      <c r="I80" s="48" t="str"/>
      <c r="J80" s="48" t="str"/>
      <c r="K80" s="48" t="str"/>
      <c r="L80" s="48" t="str"/>
      <c r="M80" s="97">
        <f>IF(AND(G80&lt;&gt;"",G80&lt;TODAY(),H80&lt;&gt;"已完成"),"逾期","")</f>
        <v/>
      </c>
    </row>
    <row r="81" ht="38" customHeight="1">
      <c r="A81" s="45" t="n">
        <v>76</v>
      </c>
      <c r="B81" s="48" t="str"/>
      <c r="C81" s="48" t="str"/>
      <c r="D81" s="48" t="str"/>
      <c r="E81" s="48" t="str"/>
      <c r="F81" s="92" t="n"/>
      <c r="G81" s="92" t="n"/>
      <c r="H81" s="48" t="inlineStr">
        <is>
          <t>未開始</t>
        </is>
      </c>
      <c r="I81" s="48" t="str"/>
      <c r="J81" s="48" t="str"/>
      <c r="K81" s="48" t="str"/>
      <c r="L81" s="48" t="str"/>
      <c r="M81" s="97">
        <f>IF(AND(G81&lt;&gt;"",G81&lt;TODAY(),H81&lt;&gt;"已完成"),"逾期","")</f>
        <v/>
      </c>
    </row>
    <row r="82" ht="38" customHeight="1">
      <c r="A82" s="45" t="n">
        <v>77</v>
      </c>
      <c r="B82" s="48" t="str"/>
      <c r="C82" s="48" t="str"/>
      <c r="D82" s="48" t="str"/>
      <c r="E82" s="48" t="str"/>
      <c r="F82" s="92" t="n"/>
      <c r="G82" s="92" t="n"/>
      <c r="H82" s="48" t="inlineStr">
        <is>
          <t>未開始</t>
        </is>
      </c>
      <c r="I82" s="48" t="str"/>
      <c r="J82" s="48" t="str"/>
      <c r="K82" s="48" t="str"/>
      <c r="L82" s="48" t="str"/>
      <c r="M82" s="97">
        <f>IF(AND(G82&lt;&gt;"",G82&lt;TODAY(),H82&lt;&gt;"已完成"),"逾期","")</f>
        <v/>
      </c>
    </row>
    <row r="83" ht="38" customHeight="1">
      <c r="A83" s="45" t="n">
        <v>78</v>
      </c>
      <c r="B83" s="48" t="str"/>
      <c r="C83" s="48" t="str"/>
      <c r="D83" s="48" t="str"/>
      <c r="E83" s="48" t="str"/>
      <c r="F83" s="92" t="n"/>
      <c r="G83" s="92" t="n"/>
      <c r="H83" s="48" t="inlineStr">
        <is>
          <t>未開始</t>
        </is>
      </c>
      <c r="I83" s="48" t="str"/>
      <c r="J83" s="48" t="str"/>
      <c r="K83" s="48" t="str"/>
      <c r="L83" s="48" t="str"/>
      <c r="M83" s="97">
        <f>IF(AND(G83&lt;&gt;"",G83&lt;TODAY(),H83&lt;&gt;"已完成"),"逾期","")</f>
        <v/>
      </c>
    </row>
    <row r="84" ht="38" customHeight="1">
      <c r="A84" s="45" t="n">
        <v>79</v>
      </c>
      <c r="B84" s="48" t="str"/>
      <c r="C84" s="48" t="str"/>
      <c r="D84" s="48" t="str"/>
      <c r="E84" s="48" t="str"/>
      <c r="F84" s="92" t="n"/>
      <c r="G84" s="92" t="n"/>
      <c r="H84" s="48" t="inlineStr">
        <is>
          <t>未開始</t>
        </is>
      </c>
      <c r="I84" s="48" t="str"/>
      <c r="J84" s="48" t="str"/>
      <c r="K84" s="48" t="str"/>
      <c r="L84" s="48" t="str"/>
      <c r="M84" s="97">
        <f>IF(AND(G84&lt;&gt;"",G84&lt;TODAY(),H84&lt;&gt;"已完成"),"逾期","")</f>
        <v/>
      </c>
    </row>
    <row r="85" ht="38" customHeight="1">
      <c r="A85" s="61" t="n">
        <v>80</v>
      </c>
      <c r="B85" s="62" t="str"/>
      <c r="C85" s="62" t="str"/>
      <c r="D85" s="62" t="str"/>
      <c r="E85" s="62" t="str"/>
      <c r="F85" s="94" t="n"/>
      <c r="G85" s="94" t="n"/>
      <c r="H85" s="62" t="inlineStr">
        <is>
          <t>未開始</t>
        </is>
      </c>
      <c r="I85" s="62" t="str"/>
      <c r="J85" s="62" t="str"/>
      <c r="K85" s="62" t="str"/>
      <c r="L85" s="62" t="str"/>
      <c r="M85" s="98">
        <f>IF(AND(G85&lt;&gt;"",G85&lt;TODAY(),H85&lt;&gt;"已完成"),"逾期","")</f>
        <v/>
      </c>
    </row>
  </sheetData>
  <conditionalFormatting sqref="M6:M85">
    <cfRule type="containsText" priority="1" operator="containsText" dxfId="0" text="逾期"/>
  </conditionalFormatting>
  <conditionalFormatting sqref="H6:H85">
    <cfRule type="containsText" priority="2" operator="containsText" dxfId="2" text="已完成"/>
    <cfRule type="containsText" priority="3" operator="containsText" dxfId="8" text="暫緩"/>
  </conditionalFormatting>
  <dataValidations count="1">
    <dataValidation sqref="H6:H85" showDropDown="0" showInputMessage="0" showErrorMessage="0" allowBlank="0" type="list">
      <formula1>"未開始,進行中,待檢視,已完成,暫緩"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6B5A8E"/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2" customWidth="1" min="3" max="3"/>
    <col width="42" customWidth="1" min="4" max="4"/>
    <col width="38" customWidth="1" min="5" max="5"/>
    <col width="32" customWidth="1" min="6" max="6"/>
  </cols>
  <sheetData>
    <row r="1">
      <c r="A1" s="2" t="n"/>
      <c r="B1" s="2" t="n"/>
      <c r="C1" s="2" t="n"/>
      <c r="D1" s="2" t="n"/>
      <c r="E1" s="2" t="n"/>
      <c r="F1" s="2" t="n"/>
    </row>
    <row r="2">
      <c r="A2" s="3" t="inlineStr">
        <is>
          <t>P1–S6 共同能力與學科分流進階標準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13" t="inlineStr">
        <is>
          <t>學段</t>
        </is>
      </c>
      <c r="B5" s="28" t="inlineStr">
        <is>
          <t>跨學科閱讀</t>
        </is>
      </c>
      <c r="C5" s="28" t="inlineStr">
        <is>
          <t>證據推理</t>
        </is>
      </c>
      <c r="D5" s="28" t="inlineStr">
        <is>
          <t>解難與建模</t>
        </is>
      </c>
      <c r="E5" s="28" t="inlineStr">
        <is>
          <t>AI 與數碼素養</t>
        </is>
      </c>
      <c r="F5" s="14" t="inlineStr">
        <is>
          <t>學生作品應呈現</t>
        </is>
      </c>
    </row>
    <row r="6" ht="76" customHeight="1">
      <c r="A6" s="74" t="inlineStr">
        <is>
          <t>P1–P3</t>
        </is>
      </c>
      <c r="B6" s="32" t="inlineStr">
        <is>
          <t>找出明示資料，連結文字與圖像</t>
        </is>
      </c>
      <c r="C6" s="32" t="inlineStr">
        <is>
          <t>用觀察或簡單資料說明答案</t>
        </is>
      </c>
      <c r="D6" s="32" t="inlineStr">
        <is>
          <t>依步驟處理熟悉問題並檢查結果</t>
        </is>
      </c>
      <c r="E6" s="32" t="inlineStr">
        <is>
          <t>在教師引導下辨識工具產出與自己的想法</t>
        </is>
      </c>
      <c r="F6" s="34" t="inlineStr">
        <is>
          <t>資料來源、操作步驟、簡短解釋</t>
        </is>
      </c>
    </row>
    <row r="7" ht="76" customHeight="1">
      <c r="A7" s="74" t="inlineStr">
        <is>
          <t>P4–P6</t>
        </is>
      </c>
      <c r="B7" s="32" t="inlineStr">
        <is>
          <t>比較兩個來源，整合文字與圖表</t>
        </is>
      </c>
      <c r="C7" s="32" t="inlineStr">
        <is>
          <t>以數據支持推論，辨識簡單限制</t>
        </is>
      </c>
      <c r="D7" s="32" t="inlineStr">
        <is>
          <t>選擇方法，測試答案是否合理</t>
        </is>
      </c>
      <c r="E7" s="32" t="inlineStr">
        <is>
          <t>記錄工具使用，核對至少一個可靠來源</t>
        </is>
      </c>
      <c r="F7" s="34" t="inlineStr">
        <is>
          <t>證據、推理過程、修正紀錄</t>
        </is>
      </c>
    </row>
    <row r="8" ht="76" customHeight="1">
      <c r="A8" s="74" t="inlineStr">
        <is>
          <t>S1–S3</t>
        </is>
      </c>
      <c r="B8" s="32" t="inlineStr">
        <is>
          <t>整合多來源資料，辨識觀點與偏差</t>
        </is>
      </c>
      <c r="C8" s="32" t="inlineStr">
        <is>
          <t>評估證據是否足以支持結論</t>
        </is>
      </c>
      <c r="D8" s="32" t="inlineStr">
        <is>
          <t>建立模型，測試方案並解釋限制</t>
        </is>
      </c>
      <c r="E8" s="32" t="inlineStr">
        <is>
          <t>比較 AI 輸出與原始來源，保留提示和版本</t>
        </is>
      </c>
      <c r="F8" s="34" t="inlineStr">
        <is>
          <t>來源評估、方法選擇、限制說明</t>
        </is>
      </c>
    </row>
    <row r="9" ht="76" customHeight="1">
      <c r="A9" s="75" t="inlineStr">
        <is>
          <t>S4–S6</t>
        </is>
      </c>
      <c r="B9" s="37" t="inlineStr">
        <is>
          <t>評估複雜文本與資料的可信度</t>
        </is>
      </c>
      <c r="C9" s="37" t="inlineStr">
        <is>
          <t>處理不確定性，提出可反駁的論證</t>
        </is>
      </c>
      <c r="D9" s="37" t="inlineStr">
        <is>
          <t>在真實情境中權衡方案並修正模型</t>
        </is>
      </c>
      <c r="E9" s="37" t="inlineStr">
        <is>
          <t>公開 AI 使用範圍，獨立核實及負責任引用</t>
        </is>
      </c>
      <c r="F9" s="39" t="inlineStr">
        <is>
          <t>完整證據鏈、反思、改進版本</t>
        </is>
      </c>
    </row>
    <row r="12">
      <c r="A12" s="79" t="inlineStr">
        <is>
          <t>五大學科組分流落實核心標準 (Disciplinary Standards Matrix)</t>
        </is>
      </c>
    </row>
    <row r="14">
      <c r="A14" s="80" t="inlineStr">
        <is>
          <t>科組</t>
        </is>
      </c>
      <c r="B14" s="80" t="inlineStr">
        <is>
          <t>學段</t>
        </is>
      </c>
      <c r="C14" s="80" t="inlineStr">
        <is>
          <t>跨學科閱讀落實標準</t>
        </is>
      </c>
      <c r="D14" s="80" t="inlineStr">
        <is>
          <t>AI Q-V-R-E-R 與課堂管制要求</t>
        </is>
      </c>
      <c r="E14" s="80" t="inlineStr">
        <is>
          <t>學生作品核心佐證</t>
        </is>
      </c>
    </row>
    <row r="15">
      <c r="A15" s="85" t="inlineStr">
        <is>
          <t>中文科</t>
        </is>
      </c>
      <c r="B15" s="85" t="inlineStr">
        <is>
          <t>P1–P6</t>
        </is>
      </c>
      <c r="C15" s="99" t="inlineStr">
        <is>
          <t>由圖文混合過渡至科普生活圖表；提取雙來源事實與觀點</t>
        </is>
      </c>
      <c r="D15" s="99" t="inlineStr">
        <is>
          <t>禁止全文代寫；低小識字體驗，高小對照辭典核對事實出處</t>
        </is>
      </c>
      <c r="E15" s="99" t="inlineStr">
        <is>
          <t>非連續性文本筆記、字典核對單、手寫文稿</t>
        </is>
      </c>
    </row>
    <row r="16">
      <c r="A16" s="82" t="inlineStr">
        <is>
          <t>中文科</t>
        </is>
      </c>
      <c r="B16" s="82" t="inlineStr">
        <is>
          <t>S1–S6</t>
        </is>
      </c>
      <c r="C16" s="100" t="inlineStr">
        <is>
          <t>多來源社論、跨媒介新聞與學術文獻；評估立場偏差與限制</t>
        </is>
      </c>
      <c r="D16" s="100" t="inlineStr">
        <is>
          <t>嚴格初稿離線手寫；修訂期限時引入 AI 激發反思；口頭答辯</t>
        </is>
      </c>
      <c r="E16" s="100" t="inlineStr">
        <is>
          <t>多文本批註、AI 提示日誌、手稿與修訂對比</t>
        </is>
      </c>
    </row>
    <row r="17">
      <c r="A17" s="85" t="inlineStr">
        <is>
          <t>英文科</t>
        </is>
      </c>
      <c r="B17" s="85" t="inlineStr">
        <is>
          <t>P1–P6</t>
        </is>
      </c>
      <c r="C17" s="99" t="inlineStr">
        <is>
          <t>Authentic non-fiction, charts, and multimodal dual-source texts</t>
        </is>
      </c>
      <c r="D17" s="99" t="inlineStr">
        <is>
          <t>Screen-down close reading; vocabulary &amp; collocation lookup only</t>
        </is>
      </c>
      <c r="E17" s="99" t="inlineStr">
        <is>
          <t>Dual-source notes, visual organizers, offline drafts</t>
        </is>
      </c>
    </row>
    <row r="18">
      <c r="A18" s="82" t="inlineStr">
        <is>
          <t>英文科</t>
        </is>
      </c>
      <c r="B18" s="82" t="inlineStr">
        <is>
          <t>S1–S6</t>
        </is>
      </c>
      <c r="C18" s="100" t="inlineStr">
        <is>
          <t>Disciplinary research summaries, academic critiques, policy reports</t>
        </is>
      </c>
      <c r="D18" s="100" t="inlineStr">
        <is>
          <t>Mandatory offline outline; Q-V-R-E-R corpus check; mandatory viva</t>
        </is>
      </c>
      <c r="E18" s="100" t="inlineStr">
        <is>
          <t>Annotated texts, corpus verification logs, oral defense</t>
        </is>
      </c>
    </row>
    <row r="19">
      <c r="A19" s="85" t="inlineStr">
        <is>
          <t>數學科</t>
        </is>
      </c>
      <c r="B19" s="85" t="inlineStr">
        <is>
          <t>P1–P6</t>
        </is>
      </c>
      <c r="C19" s="99" t="inlineStr">
        <is>
          <t>生活購物、度量衡與 200 字以上長題幹情境；提取數量關係</t>
        </is>
      </c>
      <c r="D19" s="99" t="inlineStr">
        <is>
          <t>運算堅持純紙筆；手動驗算計算機輸出，防範工具依賴</t>
        </is>
      </c>
      <c r="E19" s="99" t="inlineStr">
        <is>
          <t>情境題標註草稿、數量關係示意圖、手算驗算單</t>
        </is>
      </c>
    </row>
    <row r="20">
      <c r="A20" s="82" t="inlineStr">
        <is>
          <t>數學科</t>
        </is>
      </c>
      <c r="B20" s="82" t="inlineStr">
        <is>
          <t>S1–S6</t>
        </is>
      </c>
      <c r="C20" s="100" t="inlineStr">
        <is>
          <t>階梯計價、碳排放與微積分真實建模；解構多變數約束</t>
        </is>
      </c>
      <c r="D20" s="100" t="inlineStr">
        <is>
          <t>Q-V-R-E-R：AI 多解法對比並驗算揪錯；高階構思離線手算</t>
        </is>
      </c>
      <c r="E20" s="100" t="inlineStr">
        <is>
          <t>真實情境建模草稿、AI 算理除錯單、多解法比較</t>
        </is>
      </c>
    </row>
    <row r="21">
      <c r="A21" s="85" t="inlineStr">
        <is>
          <t>科學科</t>
        </is>
      </c>
      <c r="B21" s="85" t="inlineStr">
        <is>
          <t>P1–P6</t>
        </is>
      </c>
      <c r="C21" s="99" t="inlineStr">
        <is>
          <t>動植物圖文手冊、對比實驗設計圖；準確提取實驗變量</t>
        </is>
      </c>
      <c r="D21" s="99" t="inlineStr">
        <is>
          <t>實驗台嚴格劃定為完全無裝置區；數據採集後僅限離線分析</t>
        </is>
      </c>
      <c r="E21" s="99" t="inlineStr">
        <is>
          <t>實驗變量提取紙、手寫原始數據單、CER 報告</t>
        </is>
      </c>
    </row>
    <row r="22">
      <c r="A22" s="82" t="inlineStr">
        <is>
          <t>科學科</t>
        </is>
      </c>
      <c r="B22" s="82" t="inlineStr">
        <is>
          <t>S1–S6</t>
        </is>
      </c>
      <c r="C22" s="100" t="inlineStr">
        <is>
          <t>對立假說文本、雙座標圖表、國際科學評估報告（PISA）</t>
        </is>
      </c>
      <c r="D22" s="100" t="inlineStr">
        <is>
          <t>3D 專注（防-24分代價）；實測數據對照 AI 理論值；口頭質詢</t>
        </is>
      </c>
      <c r="E22" s="100" t="inlineStr">
        <is>
          <t>雙座標圖分析表、原始傳感器日誌、誤差分析答辯</t>
        </is>
      </c>
    </row>
    <row r="23">
      <c r="A23" s="85" t="inlineStr">
        <is>
          <t>資訊科</t>
        </is>
      </c>
      <c r="B23" s="85" t="inlineStr">
        <is>
          <t>P1–P6</t>
        </is>
      </c>
      <c r="C23" s="99" t="inlineStr">
        <is>
          <t>積木指令說明、演算法流程圖與模組手冊；理解邏輯邊界</t>
        </is>
      </c>
      <c r="D23" s="99" t="inlineStr">
        <is>
          <t>體驗機器學習分類模型，探討演算法公平性；無插電思維</t>
        </is>
      </c>
      <c r="E23" s="99" t="inlineStr">
        <is>
          <t>流程圖閱讀筆記、測試用例清單、無插電活動單</t>
        </is>
      </c>
    </row>
    <row r="24">
      <c r="A24" s="82" t="inlineStr">
        <is>
          <t>資訊科</t>
        </is>
      </c>
      <c r="B24" s="82" t="inlineStr">
        <is>
          <t>S1–S6</t>
        </is>
      </c>
      <c r="C24" s="100" t="inlineStr">
        <is>
          <t>官方技術文檔、API 規格、網絡協定結構圖與資安隱私法規</t>
        </is>
      </c>
      <c r="D24" s="100" t="inlineStr">
        <is>
          <t>Prompt 工程規範；逐行 Code Trace；課堂口頭 Code Review 答辯</t>
        </is>
      </c>
      <c r="E24" s="100" t="inlineStr">
        <is>
          <t>API 閱讀摘記、測試用例、逐行答辯單、架構圖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A8791"/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52" customWidth="1" min="3" max="3"/>
    <col width="24" customWidth="1" min="4" max="4"/>
  </cols>
  <sheetData>
    <row r="1">
      <c r="A1" s="2" t="n"/>
      <c r="B1" s="2" t="n"/>
      <c r="C1" s="2" t="n"/>
      <c r="D1" s="2" t="n"/>
    </row>
    <row r="2">
      <c r="A2" s="3" t="inlineStr">
        <is>
          <t>使用說明與資料來源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13" t="inlineStr">
        <is>
          <t>步驟</t>
        </is>
      </c>
      <c r="B5" s="28" t="inlineStr">
        <is>
          <t>負責人</t>
        </is>
      </c>
      <c r="C5" s="28" t="inlineStr">
        <is>
          <t>做法</t>
        </is>
      </c>
      <c r="D5" s="14" t="inlineStr">
        <is>
          <t>完成證據</t>
        </is>
      </c>
    </row>
    <row r="6" ht="48" customHeight="1">
      <c r="A6" s="31" t="inlineStr">
        <is>
          <t>1. 建立基線</t>
        </is>
      </c>
      <c r="B6" s="32" t="inlineStr">
        <is>
          <t>科組主管</t>
        </is>
      </c>
      <c r="C6" s="32" t="inlineStr">
        <is>
          <t>在「課程審計」逐項判斷落實狀態並附證據位置</t>
        </is>
      </c>
      <c r="D6" s="34" t="inlineStr">
        <is>
          <t>每項有狀態及證據</t>
        </is>
      </c>
    </row>
    <row r="7" ht="48" customHeight="1">
      <c r="A7" s="31" t="inlineStr">
        <is>
          <t>2. 抽樣作品</t>
        </is>
      </c>
      <c r="B7" s="32" t="inlineStr">
        <is>
          <t>年級／科組團隊</t>
        </is>
      </c>
      <c r="C7" s="32" t="inlineStr">
        <is>
          <t>在「評核與作品」登記代表性任務及學生作品</t>
        </is>
      </c>
      <c r="D7" s="34" t="inlineStr">
        <is>
          <t>完成共同評閱</t>
        </is>
      </c>
    </row>
    <row r="8" ht="48" customHeight="1">
      <c r="A8" s="31" t="inlineStr">
        <is>
          <t>3. 確認缺口</t>
        </is>
      </c>
      <c r="B8" s="32" t="inlineStr">
        <is>
          <t>課程領導小組</t>
        </is>
      </c>
      <c r="C8" s="32" t="inlineStr">
        <is>
          <t>以總覽檢視高優先級項目及跨年級斷層</t>
        </is>
      </c>
      <c r="D8" s="34" t="inlineStr">
        <is>
          <t>確認首輪改進重點</t>
        </is>
      </c>
    </row>
    <row r="9" ht="48" customHeight="1">
      <c r="A9" s="31" t="inlineStr">
        <is>
          <t>4. 安排行動</t>
        </is>
      </c>
      <c r="B9" s="32" t="inlineStr">
        <is>
          <t>行政牽頭人</t>
        </is>
      </c>
      <c r="C9" s="32" t="inlineStr">
        <is>
          <t>在「行動計畫」填寫負責人、日期、指標和目標</t>
        </is>
      </c>
      <c r="D9" s="34" t="inlineStr">
        <is>
          <t>每項有時限與成功證據</t>
        </is>
      </c>
    </row>
    <row r="10" ht="48" customHeight="1">
      <c r="A10" s="36" t="inlineStr">
        <is>
          <t>5. 再次檢視</t>
        </is>
      </c>
      <c r="B10" s="37" t="inlineStr">
        <is>
          <t>行政會議</t>
        </is>
      </c>
      <c r="C10" s="37" t="inlineStr">
        <is>
          <t>按月跟進行動，學期末以新學生作品重新判斷</t>
        </is>
      </c>
      <c r="D10" s="39" t="inlineStr">
        <is>
          <t>狀態及作品證據更新</t>
        </is>
      </c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13" t="inlineStr">
        <is>
          <t>狀態</t>
        </is>
      </c>
      <c r="B13" s="28" t="inlineStr">
        <is>
          <t>分數</t>
        </is>
      </c>
      <c r="C13" s="14" t="inlineStr">
        <is>
          <t>判斷準則</t>
        </is>
      </c>
      <c r="D13" s="2" t="n"/>
    </row>
    <row r="14">
      <c r="A14" s="15" t="inlineStr">
        <is>
          <t>未檢視</t>
        </is>
      </c>
      <c r="B14" s="2" t="str"/>
      <c r="C14" s="16" t="inlineStr">
        <is>
          <t>尚未查看課程文件、任務、評核或學生作品</t>
        </is>
      </c>
      <c r="D14" s="2" t="n"/>
    </row>
    <row r="15">
      <c r="A15" s="15" t="inlineStr">
        <is>
          <t>未出現</t>
        </is>
      </c>
      <c r="B15" s="2" t="n">
        <v>0</v>
      </c>
      <c r="C15" s="16" t="inlineStr">
        <is>
          <t>沒有可見證據</t>
        </is>
      </c>
      <c r="D15" s="2" t="n"/>
    </row>
    <row r="16">
      <c r="A16" s="15" t="inlineStr">
        <is>
          <t>部分出現</t>
        </is>
      </c>
      <c r="B16" s="2" t="n">
        <v>1</v>
      </c>
      <c r="C16" s="16" t="inlineStr">
        <is>
          <t>只在少數單元、班級或教師實踐中出現</t>
        </is>
      </c>
      <c r="D16" s="2" t="n"/>
    </row>
    <row r="17">
      <c r="A17" s="17" t="inlineStr">
        <is>
          <t>穩定出現</t>
        </is>
      </c>
      <c r="B17" s="29" t="n">
        <v>2</v>
      </c>
      <c r="C17" s="18" t="inlineStr">
        <is>
          <t>跨單元或班級持續出現，並有學生作品支持</t>
        </is>
      </c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13" t="inlineStr">
        <is>
          <t>資料來源</t>
        </is>
      </c>
      <c r="B20" s="14" t="inlineStr">
        <is>
          <t>連結</t>
        </is>
      </c>
      <c r="C20" s="2" t="n"/>
      <c r="D20" s="2" t="n"/>
    </row>
    <row r="21" ht="44" customHeight="1">
      <c r="A21" s="31" t="inlineStr">
        <is>
          <t>OECD PISA 2025 Results Volume I: Macau (China) Country Note，2026-09-08</t>
        </is>
      </c>
      <c r="B21" s="34" t="inlineStr">
        <is>
          <t>https://www.oecd.org/en/publications/pisa-2025-results-volume-i-country-notes_2d4ff9ea-en/macau-china_9815d707-en.html</t>
        </is>
      </c>
      <c r="C21" s="2" t="n"/>
      <c r="D21" s="2" t="n"/>
    </row>
    <row r="22" ht="44" customHeight="1">
      <c r="A22" s="31" t="inlineStr">
        <is>
          <t>OECD Education GPS: Macao (China)，查閱 2026-09-11</t>
        </is>
      </c>
      <c r="B22" s="34" t="inlineStr">
        <is>
          <t>https://gpseducation.oecd.org/CountryProfile?plotter=h5&amp;primaryCountry=MAC&amp;topic=PI&amp;treshold=10</t>
        </is>
      </c>
      <c r="C22" s="2" t="n"/>
      <c r="D22" s="2" t="n"/>
    </row>
    <row r="23" ht="44" customHeight="1">
      <c r="A23" s="31" t="inlineStr">
        <is>
          <t>澳門教青局 PISA 2025 新聞稿，2026-09-08</t>
        </is>
      </c>
      <c r="B23" s="34" t="inlineStr">
        <is>
          <t>https://www.gov.mo/zh-hant/news/1264691/</t>
        </is>
      </c>
      <c r="C23" s="2" t="n"/>
      <c r="D23" s="2" t="n"/>
    </row>
    <row r="24" ht="44" customHeight="1">
      <c r="A24" s="36" t="inlineStr">
        <is>
          <t>本專案 PISA 2025 澳門表現與校本課程改革分析報告</t>
        </is>
      </c>
      <c r="B24" s="39" t="inlineStr">
        <is>
          <t>PISA_2025_澳門表現與校本課程改革分析報告.docx</t>
        </is>
      </c>
      <c r="C24" s="2" t="n"/>
      <c r="D24" s="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2026-09-13T02:13:37Z</dcterms:created>
  <dcterms:modified xmlns:dcterms="http://purl.org/dc/terms/" xmlns:xsi="http://www.w3.org/2001/XMLSchema-instance" xsi:type="dcterms:W3CDTF">2026-09-13T02:13:37Z</dcterms:modified>
</cp:coreProperties>
</file>