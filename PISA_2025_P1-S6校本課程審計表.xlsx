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c77702bf7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b377e7fb18c04453"/>
    <x:sheet xmlns:r="http://schemas.openxmlformats.org/officeDocument/2006/relationships" name="課程審計" sheetId="2" r:id="Re3b11608f110425a"/>
    <x:sheet xmlns:r="http://schemas.openxmlformats.org/officeDocument/2006/relationships" name="評核與作品" sheetId="3" r:id="R5cbeee4f7ff04860"/>
    <x:sheet xmlns:r="http://schemas.openxmlformats.org/officeDocument/2006/relationships" name="行動計畫" sheetId="4" r:id="Rd54876b63a3c4436"/>
    <x:sheet xmlns:r="http://schemas.openxmlformats.org/officeDocument/2006/relationships" name="能力進階" sheetId="5" r:id="R581cc888e6604dd3"/>
    <x:sheet xmlns:r="http://schemas.openxmlformats.org/officeDocument/2006/relationships" name="使用說明" sheetId="6" r:id="Radf8784268e4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"/>
    <x:numFmt numFmtId="202" formatCode="yyyy-mm-dd"/>
    <x:numFmt numFmtId="203" formatCode="@"/>
  </x:numFmts>
  <x:fonts count="7">
    <x:font>
      <x:sz val="11"/>
      <x:name val="Carlito"/>
    </x:font>
    <x:font>
      <x:sz val="10"/>
      <x:color rgb="FF26343F"/>
      <x:name val="Arial"/>
    </x:font>
    <x:font>
      <x:b/>
      <x:sz val="16"/>
      <x:color rgb="FF173B57"/>
      <x:name val="Arial"/>
    </x:font>
    <x:font>
      <x:b/>
      <x:sz val="10"/>
      <x:color rgb="FFFFFFFF"/>
      <x:name val="Arial"/>
    </x:font>
    <x:font>
      <x:b/>
      <x:sz val="12"/>
      <x:color rgb="FF173B57"/>
      <x:name val="Arial"/>
    </x:font>
    <x:font>
      <x:i/>
      <x:sz val="10"/>
      <x:color rgb="FF596773"/>
      <x:name val="Arial"/>
    </x:font>
    <x:font>
      <x:b/>
      <x:sz val="10"/>
      <x:color rgb="FF173B5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17">
    <x:border/>
    <x:border>
      <x:bottom style="thin">
        <x:color rgb="FF9EABB4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B9C3CA"/>
      </x:left>
      <x:right style="thin">
        <x:color rgb="FFFFFFFF"/>
      </x:right>
      <x:top style="thin">
        <x:color rgb="FFB9C3CA"/>
      </x:top>
    </x:border>
    <x:border>
      <x:left style="thin">
        <x:color rgb="FFFFFFFF"/>
      </x:left>
      <x:right style="thin">
        <x:color rgb="FFB9C3CA"/>
      </x:right>
      <x:top style="thin">
        <x:color rgb="FFB9C3CA"/>
      </x:top>
    </x:border>
    <x:border>
      <x:left style="thin">
        <x:color rgb="FFB9C3CA"/>
      </x:left>
    </x:border>
    <x:border>
      <x:right style="thin">
        <x:color rgb="FFB9C3CA"/>
      </x:right>
    </x:border>
    <x:border>
      <x:left style="thin">
        <x:color rgb="FFB9C3CA"/>
      </x:left>
      <x:bottom style="thin">
        <x:color rgb="FFB9C3CA"/>
      </x:bottom>
    </x:border>
    <x:border>
      <x:right style="thin">
        <x:color rgb="FFB9C3CA"/>
      </x:right>
      <x:bottom style="thin">
        <x:color rgb="FFB9C3CA"/>
      </x:bottom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  <x:right style="thin">
        <x:color rgb="FFFFFFFF"/>
      </x:right>
      <x:top style="thin">
        <x:color rgb="FFB9C3CA"/>
      </x:top>
    </x:border>
    <x:border>
      <x:bottom style="thin">
        <x:color rgb="FFB9C3CA"/>
      </x:bottom>
    </x:border>
    <x:border>
      <x:bottom style="thin">
        <x:color rgb="FFD9E0E5"/>
      </x:bottom>
    </x:border>
    <x:border>
      <x:top style="thin">
        <x:color rgb="FFD9E0E5"/>
      </x:top>
      <x:bottom style="thin">
        <x:color rgb="FFD9E0E5"/>
      </x:bottom>
    </x:border>
    <x:border>
      <x:top style="thin">
        <x:color rgb="FFD9E0E5"/>
      </x:top>
      <x:bottom style="thin">
        <x:color rgb="FFB9C3CA"/>
      </x:bottom>
    </x:border>
    <x:border>
      <x:top style="thin">
        <x:color rgb="FFD9E0E5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3" fillId="2" borderId="10" xfId="0" applyNumberFormat="1" applyFont="1" applyFill="1" applyBorder="1" applyAlignment="1">
      <x:alignment vertical="center"/>
    </x:xf>
    <x:xf numFmtId="0" fontId="3" fillId="2" borderId="10" xfId="0" applyNumberFormat="1" applyFont="1" applyFill="1" applyBorder="1" applyAlignment="1">
      <x:alignment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1" fillId="0" borderId="12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201" fontId="1" fillId="0" borderId="12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4" borderId="13" xfId="0" applyNumberFormat="1" applyFont="1" applyFill="1" applyBorder="1" applyAlignment="1">
      <x:alignment vertical="center" wrapText="1"/>
    </x:xf>
    <x:xf numFmtId="0" fontId="1" fillId="4" borderId="14" xfId="0" applyNumberFormat="1" applyFont="1" applyFill="1" applyBorder="1" applyAlignment="1">
      <x:alignment vertical="center" wrapText="1"/>
    </x:xf>
    <x:xf numFmtId="0" fontId="1" fillId="4" borderId="15" xfId="0" applyNumberFormat="1" applyFont="1" applyFill="1" applyBorder="1" applyAlignment="1">
      <x:alignment vertical="center" wrapText="1"/>
    </x:xf>
    <x:xf numFmtId="0" fontId="1" fillId="3" borderId="13" xfId="0" applyNumberFormat="1" applyFont="1" applyFill="1" applyBorder="1" applyAlignment="1">
      <x:alignment vertical="center" wrapText="1"/>
    </x:xf>
    <x:xf numFmtId="0" fontId="1" fillId="3" borderId="14" xfId="0" applyNumberFormat="1" applyFont="1" applyFill="1" applyBorder="1" applyAlignment="1">
      <x:alignment vertical="center" wrapText="1"/>
    </x:xf>
    <x:xf numFmtId="0" fontId="1" fillId="3" borderId="15" xfId="0" applyNumberFormat="1" applyFont="1" applyFill="1" applyBorder="1" applyAlignment="1">
      <x:alignment vertical="center" wrapText="1"/>
    </x:xf>
    <x:xf numFmtId="202" fontId="1" fillId="4" borderId="13" xfId="0" applyNumberFormat="1" applyFont="1" applyFill="1" applyBorder="1" applyAlignment="1">
      <x:alignment vertical="center" wrapText="1"/>
    </x:xf>
    <x:xf numFmtId="202" fontId="1" fillId="4" borderId="14" xfId="0" applyNumberFormat="1" applyFont="1" applyFill="1" applyBorder="1" applyAlignment="1">
      <x:alignment vertical="center" wrapText="1"/>
    </x:xf>
    <x:xf numFmtId="202" fontId="1" fillId="4" borderId="15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13" xfId="0" applyNumberFormat="1" applyFont="1" applyFill="1" applyBorder="1" applyAlignment="1">
      <x:alignment vertical="center"/>
    </x:xf>
    <x:xf numFmtId="0" fontId="1" fillId="4" borderId="14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4" borderId="16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 wrapText="1"/>
    </x:xf>
    <x:xf numFmtId="0" fontId="1" fillId="4" borderId="16" xfId="0" applyNumberFormat="1" applyFont="1" applyFill="1" applyBorder="1" applyAlignment="1">
      <x:alignment vertical="center" wrapText="1"/>
    </x:xf>
    <x:xf numFmtId="202" fontId="1" fillId="4" borderId="16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3" borderId="13" xfId="0" applyNumberFormat="1" applyFont="1" applyFill="1" applyBorder="1" applyAlignment="1">
      <x:alignment vertical="center"/>
    </x:xf>
    <x:xf numFmtId="203" fontId="1" fillId="3" borderId="14" xfId="0" applyNumberFormat="1" applyFont="1" applyFill="1" applyBorder="1" applyAlignment="1">
      <x:alignment vertical="center"/>
    </x:xf>
    <x:xf numFmtId="203" fontId="1" fillId="3" borderId="16" xfId="0" applyNumberFormat="1" applyFont="1" applyFill="1" applyBorder="1" applyAlignment="1">
      <x:alignment vertical="center"/>
    </x:xf>
    <x:xf numFmtId="203" fontId="1" fillId="3" borderId="13" xfId="0" applyNumberFormat="1" applyFont="1" applyFill="1" applyBorder="1" applyAlignment="1">
      <x:alignment vertical="center" wrapText="1"/>
    </x:xf>
    <x:xf numFmtId="203" fontId="1" fillId="3" borderId="14" xfId="0" applyNumberFormat="1" applyFont="1" applyFill="1" applyBorder="1" applyAlignment="1">
      <x:alignment vertical="center" wrapText="1"/>
    </x:xf>
    <x:xf numFmtId="203" fontId="1" fillId="3" borderId="16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0" fontId="6" fillId="3" borderId="6" xfId="0" applyNumberFormat="1" applyFont="1" applyFill="1" applyBorder="1" applyAlignment="1">
      <x:alignment vertical="center" wrapText="1"/>
    </x:xf>
    <x:xf numFmtId="0" fontId="6" fillId="3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B94747"/>
      </x:font>
      <x:fill>
        <x:patternFill patternType="solid">
          <x:bgColor rgb="FFFCE4D6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2D7C69"/>
      </x:font>
      <x:fill>
        <x:patternFill patternType="solid">
          <x:bgColor rgb="FFE2F0D9"/>
        </x:patternFill>
      </x:fill>
    </x:dxf>
    <x:dxf>
      <x:font>
        <x:b/>
        <x:color rgb="FFB94747"/>
      </x:font>
      <x:fill>
        <x:patternFill patternType="solid">
          <x:bgColor rgb="FFFCE4D6"/>
        </x:patternFill>
      </x:fill>
    </x:dxf>
    <x:dxf>
      <x:font>
        <x:b/>
        <x:color rgb="FFB94747"/>
      </x:font>
      <x:fill>
        <x:patternFill patternType="solid">
          <x:bgColor rgb="FFFCE4D6"/>
        </x:patternFill>
      </x:fill>
    </x:dxf>
    <x:dxf>
      <x:font>
        <x:b/>
        <x:color rgb="FF2D7C69"/>
      </x:font>
      <x:fill>
        <x:patternFill patternType="solid">
          <x:bgColor rgb="FFE2F0D9"/>
        </x:patternFill>
      </x:fill>
    </x:dxf>
    <x:dxf>
      <x:font>
        <x:b/>
        <x:color rgb="FFB94747"/>
      </x:font>
      <x:fill>
        <x:patternFill patternType="solid">
          <x:bgColor rgb="FFFCE4D6"/>
        </x:patternFill>
      </x:fill>
    </x:dxf>
    <x:dxf>
      <x:font>
        <x:b/>
        <x:color rgb="FF2D7C69"/>
      </x:font>
      <x:fill>
        <x:patternFill patternType="solid">
          <x:bgColor rgb="FFE2F0D9"/>
        </x:patternFill>
      </x:fill>
    </x:dxf>
    <x:dxf>
      <x:font>
        <x:b/>
        <x:color rgb="FF596773"/>
      </x:font>
      <x:fill>
        <x:patternFill patternType="solid">
          <x:bgColor rgb="FFE7EB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77add3e6784aa3" /><Relationship Type="http://schemas.openxmlformats.org/officeDocument/2006/relationships/theme" Target="/xl/theme/theme1.xml" Id="R170611879b754bfa" /><Relationship Type="http://schemas.openxmlformats.org/officeDocument/2006/relationships/sharedStrings" Target="/xl/sharedStrings.xml" Id="R9e8a67aff4b54eb1" /><Relationship Type="http://schemas.openxmlformats.org/officeDocument/2006/relationships/worksheet" Target="/xl/worksheets/sheet1.xml" Id="Rb377e7fb18c04453" /><Relationship Type="http://schemas.openxmlformats.org/officeDocument/2006/relationships/worksheet" Target="/xl/worksheets/sheet2.xml" Id="Re3b11608f110425a" /><Relationship Type="http://schemas.openxmlformats.org/officeDocument/2006/relationships/worksheet" Target="/xl/worksheets/sheet3.xml" Id="R5cbeee4f7ff04860" /><Relationship Type="http://schemas.openxmlformats.org/officeDocument/2006/relationships/worksheet" Target="/xl/worksheets/sheet4.xml" Id="Rd54876b63a3c4436" /><Relationship Type="http://schemas.openxmlformats.org/officeDocument/2006/relationships/worksheet" Target="/xl/worksheets/sheet5.xml" Id="R581cc888e6604dd3" /><Relationship Type="http://schemas.openxmlformats.org/officeDocument/2006/relationships/worksheet" Target="/xl/worksheets/sheet6.xml" Id="Radf8784268e44f9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a6682c30d64d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課程審計狀態分布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項目數</c:v>
          </c:tx>
          <c:cat>
            <c:strRef>
              <c:f>'總覽'!$D$6:$D$9</c:f>
              <c:strCache>
                <c:ptCount val="0"/>
              </c:strCache>
            </c:strRef>
          </c:cat>
          <c:val>
            <c:numRef>
              <c:f>'總覽'!$E$6:$E$9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a6682c30d64d9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rriculumAuditTable" displayName="CurriculumAuditTable" ref="A5:O245" headerRowCount="1" totalsRowCount="0" totalsRowShown="0">
  <x:tableColumns count="15">
    <x:tableColumn id="1" name="編號"/>
    <x:tableColumn id="2" name="學段"/>
    <x:tableColumn id="3" name="年級"/>
    <x:tableColumn id="4" name="科組"/>
    <x:tableColumn id="5" name="共同能力"/>
    <x:tableColumn id="6" name="審計焦點"/>
    <x:tableColumn id="7" name="證據類型"/>
    <x:tableColumn id="8" name="落實狀態"/>
    <x:tableColumn id="9" name="分數"/>
    <x:tableColumn id="10" name="優先級"/>
    <x:tableColumn id="11" name="證據位置／連結"/>
    <x:tableColumn id="12" name="缺口描述"/>
    <x:tableColumn id="13" name="改進行動"/>
    <x:tableColumn id="14" name="負責人"/>
    <x:tableColumn id="15" name="完成日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Table" displayName="EvidenceTable" ref="A5:L125" headerRowCount="1" totalsRowCount="0" totalsRowShown="0">
  <x:tableColumns count="12">
    <x:tableColumn id="1" name="記錄編號"/>
    <x:tableColumn id="2" name="年級"/>
    <x:tableColumn id="3" name="科組"/>
    <x:tableColumn id="4" name="單元／任務"/>
    <x:tableColumn id="5" name="作品代碼"/>
    <x:tableColumn id="6" name="證據重點"/>
    <x:tableColumn id="7" name="表現水平"/>
    <x:tableColumn id="8" name="AI 使用方式"/>
    <x:tableColumn id="9" name="驗證證據"/>
    <x:tableColumn id="10" name="共同評閱狀態"/>
    <x:tableColumn id="11" name="後續行動"/>
    <x:tableColumn id="12" name="檢視日期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ActionPlanTable" displayName="ActionPlanTable" ref="A5:M85" headerRowCount="1" totalsRowCount="0" totalsRowShown="0">
  <x:tableColumns count="13">
    <x:tableColumn id="1" name="行動編號"/>
    <x:tableColumn id="2" name="來源審計編號"/>
    <x:tableColumn id="3" name="年級／科組"/>
    <x:tableColumn id="4" name="改進行動"/>
    <x:tableColumn id="5" name="負責人"/>
    <x:tableColumn id="6" name="開始日期"/>
    <x:tableColumn id="7" name="完成日期"/>
    <x:tableColumn id="8" name="狀態"/>
    <x:tableColumn id="9" name="成功指標"/>
    <x:tableColumn id="10" name="基線"/>
    <x:tableColumn id="11" name="目標"/>
    <x:tableColumn id="12" name="檢視紀錄"/>
    <x:tableColumn id="13" name="逾期標記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79ae86ebf7241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0b2a6354ed4d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f2b5c74bef44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f23ffc85c2439c" /></Relationships>
</file>

<file path=xl/worksheets/sheet1.xml><?xml version="1.0" encoding="utf-8"?>
<x:worksheet xmlns:x="http://schemas.openxmlformats.org/spreadsheetml/2006/main">
  <x:sheetPr>
    <x:tabColor rgb="FF173B57"/>
  </x:sheetPr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PISA 2025 校本課程審計總覽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13" t="str">
        <x:v>指標</x:v>
      </x:c>
      <x:c r="B5" s="14" t="str">
        <x:v>目前數值</x:v>
      </x:c>
      <x:c r="C5" s="2"/>
      <x:c r="D5" s="13" t="str">
        <x:v>落實狀態</x:v>
      </x:c>
      <x:c r="E5" s="14" t="str">
        <x:v>項目數</x:v>
      </x:c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15" t="str">
        <x:v>審計項目數</x:v>
      </x:c>
      <x:c r="B6" s="21" t="n">
        <x:f>COUNTA('課程審計'!$A$6:$A$245)</x:f>
        <x:v>48</x:v>
      </x:c>
      <x:c r="C6" s="2"/>
      <x:c r="D6" s="15" t="str">
        <x:v>未檢視</x:v>
      </x:c>
      <x:c r="E6" s="16" t="n">
        <x:f>COUNTIF('課程審計'!$H$6:$H$245,D6)</x:f>
        <x:v>48</x:v>
      </x:c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15" t="str">
        <x:v>已完成判斷</x:v>
      </x:c>
      <x:c r="B7" s="21" t="n">
        <x:f>SUM(COUNTIF('課程審計'!$H$6:$H$245,{"未出現","部分出現","穩定出現"}))</x:f>
        <x:v>0</x:v>
      </x:c>
      <x:c r="C7" s="2"/>
      <x:c r="D7" s="15" t="str">
        <x:v>未出現</x:v>
      </x:c>
      <x:c r="E7" s="16" t="n">
        <x:f>COUNTIF('課程審計'!$H$6:$H$245,D7)</x:f>
        <x:v>0</x:v>
      </x:c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5" t="str">
        <x:v>穩定出現</x:v>
      </x:c>
      <x:c r="B8" s="21" t="n">
        <x:f>COUNTIF('課程審計'!$H$6:$H$245,"穩定出現")</x:f>
        <x:v>0</x:v>
      </x:c>
      <x:c r="C8" s="2"/>
      <x:c r="D8" s="15" t="str">
        <x:v>部分出現</x:v>
      </x:c>
      <x:c r="E8" s="16" t="n">
        <x:f>COUNTIF('課程審計'!$H$6:$H$245,D8)</x:f>
        <x:v>0</x:v>
      </x:c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17" t="str">
        <x:v>高優先級缺口</x:v>
      </x:c>
      <x:c r="B9" s="22" t="n">
        <x:f>COUNTIF('課程審計'!$J$6:$J$245,"高")</x:f>
        <x:v>0</x:v>
      </x:c>
      <x:c r="C9" s="2"/>
      <x:c r="D9" s="17" t="str">
        <x:v>穩定出現</x:v>
      </x:c>
      <x:c r="E9" s="18" t="n">
        <x:f>COUNTIF('課程審計'!$H$6:$H$245,D9)</x:f>
        <x:v>0</x:v>
      </x:c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13" t="str">
        <x:v>行政檢視</x:v>
      </x:c>
      <x:c r="B12" s="28" t="str">
        <x:v>公式／判斷</x:v>
      </x:c>
      <x:c r="C12" s="28" t="str">
        <x:v>本期結果</x:v>
      </x:c>
      <x:c r="D12" s="28" t="str">
        <x:v>需要行動時的處理</x:v>
      </x:c>
      <x:c r="E12" s="14" t="str">
        <x:v>負責人</x:v>
      </x:c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31" t="str">
        <x:v>審計完成率</x:v>
      </x:c>
      <x:c r="B13" s="32" t="str">
        <x:v>已完成判斷 ÷ 審計項目</x:v>
      </x:c>
      <x:c r="C13" s="33" t="n">
        <x:f>IF(B6=0,"未有資料",B7/B6)</x:f>
        <x:v>0</x:v>
      </x:c>
      <x:c r="D13" s="32" t="str">
        <x:v>低於校訂目標時安排補填</x:v>
      </x:c>
      <x:c r="E13" s="34" t="str">
        <x:v>課程領導小組</x:v>
      </x:c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31" t="str">
        <x:v>穩定落實率</x:v>
      </x:c>
      <x:c r="B14" s="32" t="str">
        <x:v>穩定出現 ÷ 審計項目</x:v>
      </x:c>
      <x:c r="C14" s="33" t="n">
        <x:f>IF(B6=0,"未有資料",B8/B6)</x:f>
        <x:v>0</x:v>
      </x:c>
      <x:c r="D14" s="32" t="str">
        <x:v>選取缺口最大的年級段支援</x:v>
      </x:c>
      <x:c r="E14" s="34" t="str">
        <x:v>課程統籌</x:v>
      </x:c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31" t="str">
        <x:v>高優先級缺口</x:v>
      </x:c>
      <x:c r="B15" s="32" t="str">
        <x:v>優先級為高的項目數</x:v>
      </x:c>
      <x:c r="C15" s="35" t="n">
        <x:f>B9</x:f>
        <x:v>0</x:v>
      </x:c>
      <x:c r="D15" s="32" t="str">
        <x:v>確認負責人與完成日期</x:v>
      </x:c>
      <x:c r="E15" s="34" t="str">
        <x:v>科組主管</x:v>
      </x:c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31" t="str">
        <x:v>學生作品已調適</x:v>
      </x:c>
      <x:c r="B16" s="32" t="str">
        <x:v>評核與作品表中已完成共同評閱</x:v>
      </x:c>
      <x:c r="C16" s="35" t="n">
        <x:f>COUNTIF('評核與作品'!$J$6:$J$125,"已完成")</x:f>
        <x:v>0</x:v>
      </x:c>
      <x:c r="D16" s="32" t="str">
        <x:v>安排共同評分或評核修訂</x:v>
      </x:c>
      <x:c r="E16" s="34" t="str">
        <x:v>評核統籌</x:v>
      </x:c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36" t="str">
        <x:v>行動逾期</x:v>
      </x:c>
      <x:c r="B17" s="37" t="str">
        <x:v>完成日期早於今天且未完成</x:v>
      </x:c>
      <x:c r="C17" s="38" t="n">
        <x:f>COUNTIF('行動計畫'!$M$6:$M$85,"逾期")</x:f>
        <x:v>0</x:v>
      </x:c>
      <x:c r="D17" s="37" t="str">
        <x:v>行政會議跟進</x:v>
      </x:c>
      <x:c r="E17" s="39" t="str">
        <x:v>行政牽頭人</x:v>
      </x:c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40" t="str">
        <x:v>填寫次序：課程審計 → 評核與作品 → 行動計畫。總覽會自動更新。</x:v>
      </x:c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</x:row>
  </x:sheetData>
  <x:pageMargins left="0.7" right="0.7" top="0.75" bottom="0.75" header="0.3" footer="0.3"/>
  <x:drawing xmlns:r="http://schemas.openxmlformats.org/officeDocument/2006/relationships" r:id="R879ae86ebf72416b"/>
</x:worksheet>
</file>

<file path=xl/worksheets/sheet2.xml><?xml version="1.0" encoding="utf-8"?>
<x:worksheet xmlns:x="http://schemas.openxmlformats.org/spreadsheetml/2006/main">
  <x:sheetPr>
    <x:tabColor rgb="FF2C6E91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12" hidden="0" customWidth="1"/>
    <x:col min="3" max="3" width="10" hidden="0" customWidth="1"/>
    <x:col min="4" max="4" width="14" hidden="0" customWidth="1"/>
    <x:col min="5" max="5" width="18" hidden="0" customWidth="1"/>
    <x:col min="6" max="6" width="38" hidden="0" customWidth="1"/>
    <x:col min="7" max="7" width="16" hidden="0" customWidth="1"/>
    <x:col min="8" max="8" width="14" hidden="0" customWidth="1"/>
    <x:col min="9" max="9" width="9" hidden="0" customWidth="1"/>
    <x:col min="10" max="10" width="10" hidden="0" customWidth="1"/>
    <x:col min="11" max="11" width="28" hidden="0" customWidth="1"/>
    <x:col min="12" max="12" width="30" hidden="0" customWidth="1"/>
    <x:col min="13" max="13" width="30" hidden="0" customWidth="1"/>
    <x:col min="14" max="14" width="14" hidden="0" customWidth="1"/>
    <x:col min="15" max="15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P1–S6 校本課程審計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0" t="str">
        <x:v>每列代表一個年級、科組與共同能力的審計判斷。黃色欄位由科組填寫，藍色欄位自動計算。</x:v>
      </x:c>
      <x:c r="B3" s="40" t="str">
        <x:v>每列代表一個年級、科組與共同能力的審計判斷。黃色欄位由科組填寫，藍色欄位自動計算。</x:v>
      </x:c>
      <x:c r="C3" s="40" t="str">
        <x:v>每列代表一個年級、科組與共同能力的審計判斷。黃色欄位由科組填寫，藍色欄位自動計算。</x:v>
      </x:c>
      <x:c r="D3" s="40" t="str">
        <x:v>每列代表一個年級、科組與共同能力的審計判斷。黃色欄位由科組填寫，藍色欄位自動計算。</x:v>
      </x:c>
      <x:c r="E3" s="40" t="str">
        <x:v>每列代表一個年級、科組與共同能力的審計判斷。黃色欄位由科組填寫，藍色欄位自動計算。</x:v>
      </x:c>
      <x:c r="F3" s="40" t="str">
        <x:v>每列代表一個年級、科組與共同能力的審計判斷。黃色欄位由科組填寫，藍色欄位自動計算。</x:v>
      </x:c>
      <x:c r="G3" s="40" t="str">
        <x:v>每列代表一個年級、科組與共同能力的審計判斷。黃色欄位由科組填寫，藍色欄位自動計算。</x:v>
      </x:c>
      <x:c r="H3" s="40" t="str">
        <x:v>每列代表一個年級、科組與共同能力的審計判斷。黃色欄位由科組填寫，藍色欄位自動計算。</x:v>
      </x:c>
      <x:c r="I3" s="40" t="str">
        <x:v>每列代表一個年級、科組與共同能力的審計判斷。黃色欄位由科組填寫，藍色欄位自動計算。</x:v>
      </x:c>
      <x:c r="J3" s="40" t="str">
        <x:v>每列代表一個年級、科組與共同能力的審計判斷。黃色欄位由科組填寫，藍色欄位自動計算。</x:v>
      </x:c>
      <x:c r="K3" s="40" t="str">
        <x:v>每列代表一個年級、科組與共同能力的審計判斷。黃色欄位由科組填寫，藍色欄位自動計算。</x:v>
      </x:c>
      <x:c r="L3" s="40" t="str">
        <x:v>每列代表一個年級、科組與共同能力的審計判斷。黃色欄位由科組填寫，藍色欄位自動計算。</x:v>
      </x:c>
      <x:c r="M3" s="40" t="str">
        <x:v>每列代表一個年級、科組與共同能力的審計判斷。黃色欄位由科組填寫，藍色欄位自動計算。</x:v>
      </x:c>
      <x:c r="N3" s="40" t="str">
        <x:v>每列代表一個年級、科組與共同能力的審計判斷。黃色欄位由科組填寫，藍色欄位自動計算。</x:v>
      </x:c>
      <x:c r="O3" s="40" t="str">
        <x:v>每列代表一個年級、科組與共同能力的審計判斷。黃色欄位由科組填寫，藍色欄位自動計算。</x:v>
      </x:c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11" t="str">
        <x:v>編號</x:v>
      </x:c>
      <x:c r="B5" s="25" t="str">
        <x:v>學段</x:v>
      </x:c>
      <x:c r="C5" s="25" t="str">
        <x:v>年級</x:v>
      </x:c>
      <x:c r="D5" s="25" t="str">
        <x:v>科組</x:v>
      </x:c>
      <x:c r="E5" s="25" t="str">
        <x:v>共同能力</x:v>
      </x:c>
      <x:c r="F5" s="25" t="str">
        <x:v>審計焦點</x:v>
      </x:c>
      <x:c r="G5" s="25" t="str">
        <x:v>證據類型</x:v>
      </x:c>
      <x:c r="H5" s="25" t="str">
        <x:v>落實狀態</x:v>
      </x:c>
      <x:c r="I5" s="25" t="str">
        <x:v>分數</x:v>
      </x:c>
      <x:c r="J5" s="25" t="str">
        <x:v>優先級</x:v>
      </x:c>
      <x:c r="K5" s="25" t="str">
        <x:v>證據位置／連結</x:v>
      </x:c>
      <x:c r="L5" s="25" t="str">
        <x:v>缺口描述</x:v>
      </x:c>
      <x:c r="M5" s="25" t="str">
        <x:v>改進行動</x:v>
      </x:c>
      <x:c r="N5" s="25" t="str">
        <x:v>負責人</x:v>
      </x:c>
      <x:c r="O5" s="12" t="str">
        <x:v>完成日期</x:v>
      </x:c>
    </x:row>
    <x:row r="6" ht="42" customHeight="1">
      <x:c r="A6" s="44" t="n">
        <x:v>1</x:v>
      </x:c>
      <x:c r="B6" s="44" t="str">
        <x:v>P1–P3</x:v>
      </x:c>
      <x:c r="C6" s="44" t="str">
        <x:v>P1</x:v>
      </x:c>
      <x:c r="D6" s="47" t="str"/>
      <x:c r="E6" s="47" t="str">
        <x:v>跨學科閱讀</x:v>
      </x:c>
      <x:c r="F6" s="47" t="str">
        <x:v>學生需定位、比較及整合文字、圖表與多來源資料</x:v>
      </x:c>
      <x:c r="G6" s="47" t="str"/>
      <x:c r="H6" s="47" t="str">
        <x:v>未檢視</x:v>
      </x:c>
      <x:c r="I6" s="50" t="str">
        <x:f>IF(H6="未出現",0,IF(H6="部分出現",1,IF(H6="穩定出現",2,"")))</x:f>
      </x:c>
      <x:c r="J6" s="47" t="str"/>
      <x:c r="K6" s="47" t="str"/>
      <x:c r="L6" s="47" t="str"/>
      <x:c r="M6" s="47" t="str"/>
      <x:c r="N6" s="47" t="str"/>
      <x:c r="O6" s="53"/>
    </x:row>
    <x:row r="7" ht="42" customHeight="1">
      <x:c r="A7" s="45" t="n">
        <x:v>2</x:v>
      </x:c>
      <x:c r="B7" s="45" t="str">
        <x:v>P1–P3</x:v>
      </x:c>
      <x:c r="C7" s="45" t="str">
        <x:v>P1</x:v>
      </x:c>
      <x:c r="D7" s="48" t="str"/>
      <x:c r="E7" s="48" t="str">
        <x:v>證據推理</x:v>
      </x:c>
      <x:c r="F7" s="48" t="str">
        <x:v>學生需以數據或文本證據支持解釋，並指出限制</x:v>
      </x:c>
      <x:c r="G7" s="48" t="str"/>
      <x:c r="H7" s="48" t="str">
        <x:v>未檢視</x:v>
      </x:c>
      <x:c r="I7" s="51" t="str">
        <x:f>IF(H7="未出現",0,IF(H7="部分出現",1,IF(H7="穩定出現",2,"")))</x:f>
      </x:c>
      <x:c r="J7" s="48" t="str"/>
      <x:c r="K7" s="48" t="str"/>
      <x:c r="L7" s="48" t="str"/>
      <x:c r="M7" s="48" t="str"/>
      <x:c r="N7" s="48" t="str"/>
      <x:c r="O7" s="54"/>
    </x:row>
    <x:row r="8" ht="42" customHeight="1">
      <x:c r="A8" s="45" t="n">
        <x:v>3</x:v>
      </x:c>
      <x:c r="B8" s="45" t="str">
        <x:v>P1–P3</x:v>
      </x:c>
      <x:c r="C8" s="45" t="str">
        <x:v>P1</x:v>
      </x:c>
      <x:c r="D8" s="48" t="str"/>
      <x:c r="E8" s="48" t="str">
        <x:v>解難與建模</x:v>
      </x:c>
      <x:c r="F8" s="48" t="str">
        <x:v>學生需拆解問題、測試方法、檢查結果並修正方案</x:v>
      </x:c>
      <x:c r="G8" s="48" t="str"/>
      <x:c r="H8" s="48" t="str">
        <x:v>未檢視</x:v>
      </x:c>
      <x:c r="I8" s="51" t="str">
        <x:f>IF(H8="未出現",0,IF(H8="部分出現",1,IF(H8="穩定出現",2,"")))</x:f>
      </x:c>
      <x:c r="J8" s="48" t="str"/>
      <x:c r="K8" s="48" t="str"/>
      <x:c r="L8" s="48" t="str"/>
      <x:c r="M8" s="48" t="str"/>
      <x:c r="N8" s="48" t="str"/>
      <x:c r="O8" s="54"/>
    </x:row>
    <x:row r="9" ht="42" customHeight="1">
      <x:c r="A9" s="45" t="n">
        <x:v>4</x:v>
      </x:c>
      <x:c r="B9" s="45" t="str">
        <x:v>P1–P3</x:v>
      </x:c>
      <x:c r="C9" s="45" t="str">
        <x:v>P1</x:v>
      </x:c>
      <x:c r="D9" s="48" t="str"/>
      <x:c r="E9" s="48" t="str">
        <x:v>AI 與數碼素養</x:v>
      </x:c>
      <x:c r="F9" s="48" t="str">
        <x:v>學生需記錄工具使用、核對來源並解釋判斷</x:v>
      </x:c>
      <x:c r="G9" s="48" t="str"/>
      <x:c r="H9" s="48" t="str">
        <x:v>未檢視</x:v>
      </x:c>
      <x:c r="I9" s="51" t="str">
        <x:f>IF(H9="未出現",0,IF(H9="部分出現",1,IF(H9="穩定出現",2,"")))</x:f>
      </x:c>
      <x:c r="J9" s="48" t="str"/>
      <x:c r="K9" s="48" t="str"/>
      <x:c r="L9" s="48" t="str"/>
      <x:c r="M9" s="48" t="str"/>
      <x:c r="N9" s="48" t="str"/>
      <x:c r="O9" s="54"/>
    </x:row>
    <x:row r="10" ht="42" customHeight="1">
      <x:c r="A10" s="45" t="n">
        <x:v>5</x:v>
      </x:c>
      <x:c r="B10" s="45" t="str">
        <x:v>P1–P3</x:v>
      </x:c>
      <x:c r="C10" s="45" t="str">
        <x:v>P2</x:v>
      </x:c>
      <x:c r="D10" s="48" t="str"/>
      <x:c r="E10" s="48" t="str">
        <x:v>跨學科閱讀</x:v>
      </x:c>
      <x:c r="F10" s="48" t="str">
        <x:v>學生需定位、比較及整合文字、圖表與多來源資料</x:v>
      </x:c>
      <x:c r="G10" s="48" t="str"/>
      <x:c r="H10" s="48" t="str">
        <x:v>未檢視</x:v>
      </x:c>
      <x:c r="I10" s="51" t="str">
        <x:f>IF(H10="未出現",0,IF(H10="部分出現",1,IF(H10="穩定出現",2,"")))</x:f>
      </x:c>
      <x:c r="J10" s="48" t="str"/>
      <x:c r="K10" s="48" t="str"/>
      <x:c r="L10" s="48" t="str"/>
      <x:c r="M10" s="48" t="str"/>
      <x:c r="N10" s="48" t="str"/>
      <x:c r="O10" s="54"/>
    </x:row>
    <x:row r="11" ht="42" customHeight="1">
      <x:c r="A11" s="45" t="n">
        <x:v>6</x:v>
      </x:c>
      <x:c r="B11" s="45" t="str">
        <x:v>P1–P3</x:v>
      </x:c>
      <x:c r="C11" s="45" t="str">
        <x:v>P2</x:v>
      </x:c>
      <x:c r="D11" s="48" t="str"/>
      <x:c r="E11" s="48" t="str">
        <x:v>證據推理</x:v>
      </x:c>
      <x:c r="F11" s="48" t="str">
        <x:v>學生需以數據或文本證據支持解釋，並指出限制</x:v>
      </x:c>
      <x:c r="G11" s="48" t="str"/>
      <x:c r="H11" s="48" t="str">
        <x:v>未檢視</x:v>
      </x:c>
      <x:c r="I11" s="51" t="str">
        <x:f>IF(H11="未出現",0,IF(H11="部分出現",1,IF(H11="穩定出現",2,"")))</x:f>
      </x:c>
      <x:c r="J11" s="48" t="str"/>
      <x:c r="K11" s="48" t="str"/>
      <x:c r="L11" s="48" t="str"/>
      <x:c r="M11" s="48" t="str"/>
      <x:c r="N11" s="48" t="str"/>
      <x:c r="O11" s="54"/>
    </x:row>
    <x:row r="12" ht="42" customHeight="1">
      <x:c r="A12" s="45" t="n">
        <x:v>7</x:v>
      </x:c>
      <x:c r="B12" s="45" t="str">
        <x:v>P1–P3</x:v>
      </x:c>
      <x:c r="C12" s="45" t="str">
        <x:v>P2</x:v>
      </x:c>
      <x:c r="D12" s="48" t="str"/>
      <x:c r="E12" s="48" t="str">
        <x:v>解難與建模</x:v>
      </x:c>
      <x:c r="F12" s="48" t="str">
        <x:v>學生需拆解問題、測試方法、檢查結果並修正方案</x:v>
      </x:c>
      <x:c r="G12" s="48" t="str"/>
      <x:c r="H12" s="48" t="str">
        <x:v>未檢視</x:v>
      </x:c>
      <x:c r="I12" s="51" t="str">
        <x:f>IF(H12="未出現",0,IF(H12="部分出現",1,IF(H12="穩定出現",2,"")))</x:f>
      </x:c>
      <x:c r="J12" s="48" t="str"/>
      <x:c r="K12" s="48" t="str"/>
      <x:c r="L12" s="48" t="str"/>
      <x:c r="M12" s="48" t="str"/>
      <x:c r="N12" s="48" t="str"/>
      <x:c r="O12" s="54"/>
    </x:row>
    <x:row r="13" ht="42" customHeight="1">
      <x:c r="A13" s="45" t="n">
        <x:v>8</x:v>
      </x:c>
      <x:c r="B13" s="45" t="str">
        <x:v>P1–P3</x:v>
      </x:c>
      <x:c r="C13" s="45" t="str">
        <x:v>P2</x:v>
      </x:c>
      <x:c r="D13" s="48" t="str"/>
      <x:c r="E13" s="48" t="str">
        <x:v>AI 與數碼素養</x:v>
      </x:c>
      <x:c r="F13" s="48" t="str">
        <x:v>學生需記錄工具使用、核對來源並解釋判斷</x:v>
      </x:c>
      <x:c r="G13" s="48" t="str"/>
      <x:c r="H13" s="48" t="str">
        <x:v>未檢視</x:v>
      </x:c>
      <x:c r="I13" s="51" t="str">
        <x:f>IF(H13="未出現",0,IF(H13="部分出現",1,IF(H13="穩定出現",2,"")))</x:f>
      </x:c>
      <x:c r="J13" s="48" t="str"/>
      <x:c r="K13" s="48" t="str"/>
      <x:c r="L13" s="48" t="str"/>
      <x:c r="M13" s="48" t="str"/>
      <x:c r="N13" s="48" t="str"/>
      <x:c r="O13" s="54"/>
    </x:row>
    <x:row r="14" ht="42" customHeight="1">
      <x:c r="A14" s="45" t="n">
        <x:v>9</x:v>
      </x:c>
      <x:c r="B14" s="45" t="str">
        <x:v>P1–P3</x:v>
      </x:c>
      <x:c r="C14" s="45" t="str">
        <x:v>P3</x:v>
      </x:c>
      <x:c r="D14" s="48" t="str"/>
      <x:c r="E14" s="48" t="str">
        <x:v>跨學科閱讀</x:v>
      </x:c>
      <x:c r="F14" s="48" t="str">
        <x:v>學生需定位、比較及整合文字、圖表與多來源資料</x:v>
      </x:c>
      <x:c r="G14" s="48" t="str"/>
      <x:c r="H14" s="48" t="str">
        <x:v>未檢視</x:v>
      </x:c>
      <x:c r="I14" s="51" t="str">
        <x:f>IF(H14="未出現",0,IF(H14="部分出現",1,IF(H14="穩定出現",2,"")))</x:f>
      </x:c>
      <x:c r="J14" s="48" t="str"/>
      <x:c r="K14" s="48" t="str"/>
      <x:c r="L14" s="48" t="str"/>
      <x:c r="M14" s="48" t="str"/>
      <x:c r="N14" s="48" t="str"/>
      <x:c r="O14" s="54"/>
    </x:row>
    <x:row r="15" ht="42" customHeight="1">
      <x:c r="A15" s="45" t="n">
        <x:v>10</x:v>
      </x:c>
      <x:c r="B15" s="45" t="str">
        <x:v>P1–P3</x:v>
      </x:c>
      <x:c r="C15" s="45" t="str">
        <x:v>P3</x:v>
      </x:c>
      <x:c r="D15" s="48" t="str"/>
      <x:c r="E15" s="48" t="str">
        <x:v>證據推理</x:v>
      </x:c>
      <x:c r="F15" s="48" t="str">
        <x:v>學生需以數據或文本證據支持解釋，並指出限制</x:v>
      </x:c>
      <x:c r="G15" s="48" t="str"/>
      <x:c r="H15" s="48" t="str">
        <x:v>未檢視</x:v>
      </x:c>
      <x:c r="I15" s="51" t="str">
        <x:f>IF(H15="未出現",0,IF(H15="部分出現",1,IF(H15="穩定出現",2,"")))</x:f>
      </x:c>
      <x:c r="J15" s="48" t="str"/>
      <x:c r="K15" s="48" t="str"/>
      <x:c r="L15" s="48" t="str"/>
      <x:c r="M15" s="48" t="str"/>
      <x:c r="N15" s="48" t="str"/>
      <x:c r="O15" s="54"/>
    </x:row>
    <x:row r="16" ht="42" customHeight="1">
      <x:c r="A16" s="45" t="n">
        <x:v>11</x:v>
      </x:c>
      <x:c r="B16" s="45" t="str">
        <x:v>P1–P3</x:v>
      </x:c>
      <x:c r="C16" s="45" t="str">
        <x:v>P3</x:v>
      </x:c>
      <x:c r="D16" s="48" t="str"/>
      <x:c r="E16" s="48" t="str">
        <x:v>解難與建模</x:v>
      </x:c>
      <x:c r="F16" s="48" t="str">
        <x:v>學生需拆解問題、測試方法、檢查結果並修正方案</x:v>
      </x:c>
      <x:c r="G16" s="48" t="str"/>
      <x:c r="H16" s="48" t="str">
        <x:v>未檢視</x:v>
      </x:c>
      <x:c r="I16" s="51" t="str">
        <x:f>IF(H16="未出現",0,IF(H16="部分出現",1,IF(H16="穩定出現",2,"")))</x:f>
      </x:c>
      <x:c r="J16" s="48" t="str"/>
      <x:c r="K16" s="48" t="str"/>
      <x:c r="L16" s="48" t="str"/>
      <x:c r="M16" s="48" t="str"/>
      <x:c r="N16" s="48" t="str"/>
      <x:c r="O16" s="54"/>
    </x:row>
    <x:row r="17" ht="42" customHeight="1">
      <x:c r="A17" s="45" t="n">
        <x:v>12</x:v>
      </x:c>
      <x:c r="B17" s="45" t="str">
        <x:v>P1–P3</x:v>
      </x:c>
      <x:c r="C17" s="45" t="str">
        <x:v>P3</x:v>
      </x:c>
      <x:c r="D17" s="48" t="str"/>
      <x:c r="E17" s="48" t="str">
        <x:v>AI 與數碼素養</x:v>
      </x:c>
      <x:c r="F17" s="48" t="str">
        <x:v>學生需記錄工具使用、核對來源並解釋判斷</x:v>
      </x:c>
      <x:c r="G17" s="48" t="str"/>
      <x:c r="H17" s="48" t="str">
        <x:v>未檢視</x:v>
      </x:c>
      <x:c r="I17" s="51" t="str">
        <x:f>IF(H17="未出現",0,IF(H17="部分出現",1,IF(H17="穩定出現",2,"")))</x:f>
      </x:c>
      <x:c r="J17" s="48" t="str"/>
      <x:c r="K17" s="48" t="str"/>
      <x:c r="L17" s="48" t="str"/>
      <x:c r="M17" s="48" t="str"/>
      <x:c r="N17" s="48" t="str"/>
      <x:c r="O17" s="54"/>
    </x:row>
    <x:row r="18" ht="42" customHeight="1">
      <x:c r="A18" s="45" t="n">
        <x:v>13</x:v>
      </x:c>
      <x:c r="B18" s="45" t="str">
        <x:v>P4–P6</x:v>
      </x:c>
      <x:c r="C18" s="45" t="str">
        <x:v>P4</x:v>
      </x:c>
      <x:c r="D18" s="48" t="str"/>
      <x:c r="E18" s="48" t="str">
        <x:v>跨學科閱讀</x:v>
      </x:c>
      <x:c r="F18" s="48" t="str">
        <x:v>學生需定位、比較及整合文字、圖表與多來源資料</x:v>
      </x:c>
      <x:c r="G18" s="48" t="str"/>
      <x:c r="H18" s="48" t="str">
        <x:v>未檢視</x:v>
      </x:c>
      <x:c r="I18" s="51" t="str">
        <x:f>IF(H18="未出現",0,IF(H18="部分出現",1,IF(H18="穩定出現",2,"")))</x:f>
      </x:c>
      <x:c r="J18" s="48" t="str"/>
      <x:c r="K18" s="48" t="str"/>
      <x:c r="L18" s="48" t="str"/>
      <x:c r="M18" s="48" t="str"/>
      <x:c r="N18" s="48" t="str"/>
      <x:c r="O18" s="54"/>
    </x:row>
    <x:row r="19" ht="42" customHeight="1">
      <x:c r="A19" s="45" t="n">
        <x:v>14</x:v>
      </x:c>
      <x:c r="B19" s="45" t="str">
        <x:v>P4–P6</x:v>
      </x:c>
      <x:c r="C19" s="45" t="str">
        <x:v>P4</x:v>
      </x:c>
      <x:c r="D19" s="48" t="str"/>
      <x:c r="E19" s="48" t="str">
        <x:v>證據推理</x:v>
      </x:c>
      <x:c r="F19" s="48" t="str">
        <x:v>學生需以數據或文本證據支持解釋，並指出限制</x:v>
      </x:c>
      <x:c r="G19" s="48" t="str"/>
      <x:c r="H19" s="48" t="str">
        <x:v>未檢視</x:v>
      </x:c>
      <x:c r="I19" s="51" t="str">
        <x:f>IF(H19="未出現",0,IF(H19="部分出現",1,IF(H19="穩定出現",2,"")))</x:f>
      </x:c>
      <x:c r="J19" s="48" t="str"/>
      <x:c r="K19" s="48" t="str"/>
      <x:c r="L19" s="48" t="str"/>
      <x:c r="M19" s="48" t="str"/>
      <x:c r="N19" s="48" t="str"/>
      <x:c r="O19" s="54"/>
    </x:row>
    <x:row r="20" ht="42" customHeight="1">
      <x:c r="A20" s="45" t="n">
        <x:v>15</x:v>
      </x:c>
      <x:c r="B20" s="45" t="str">
        <x:v>P4–P6</x:v>
      </x:c>
      <x:c r="C20" s="45" t="str">
        <x:v>P4</x:v>
      </x:c>
      <x:c r="D20" s="48" t="str"/>
      <x:c r="E20" s="48" t="str">
        <x:v>解難與建模</x:v>
      </x:c>
      <x:c r="F20" s="48" t="str">
        <x:v>學生需拆解問題、測試方法、檢查結果並修正方案</x:v>
      </x:c>
      <x:c r="G20" s="48" t="str"/>
      <x:c r="H20" s="48" t="str">
        <x:v>未檢視</x:v>
      </x:c>
      <x:c r="I20" s="51" t="str">
        <x:f>IF(H20="未出現",0,IF(H20="部分出現",1,IF(H20="穩定出現",2,"")))</x:f>
      </x:c>
      <x:c r="J20" s="48" t="str"/>
      <x:c r="K20" s="48" t="str"/>
      <x:c r="L20" s="48" t="str"/>
      <x:c r="M20" s="48" t="str"/>
      <x:c r="N20" s="48" t="str"/>
      <x:c r="O20" s="54"/>
    </x:row>
    <x:row r="21" ht="42" customHeight="1">
      <x:c r="A21" s="45" t="n">
        <x:v>16</x:v>
      </x:c>
      <x:c r="B21" s="45" t="str">
        <x:v>P4–P6</x:v>
      </x:c>
      <x:c r="C21" s="45" t="str">
        <x:v>P4</x:v>
      </x:c>
      <x:c r="D21" s="48" t="str"/>
      <x:c r="E21" s="48" t="str">
        <x:v>AI 與數碼素養</x:v>
      </x:c>
      <x:c r="F21" s="48" t="str">
        <x:v>學生需記錄工具使用、核對來源並解釋判斷</x:v>
      </x:c>
      <x:c r="G21" s="48" t="str"/>
      <x:c r="H21" s="48" t="str">
        <x:v>未檢視</x:v>
      </x:c>
      <x:c r="I21" s="51" t="str">
        <x:f>IF(H21="未出現",0,IF(H21="部分出現",1,IF(H21="穩定出現",2,"")))</x:f>
      </x:c>
      <x:c r="J21" s="48" t="str"/>
      <x:c r="K21" s="48" t="str"/>
      <x:c r="L21" s="48" t="str"/>
      <x:c r="M21" s="48" t="str"/>
      <x:c r="N21" s="48" t="str"/>
      <x:c r="O21" s="54"/>
    </x:row>
    <x:row r="22" ht="42" customHeight="1">
      <x:c r="A22" s="45" t="n">
        <x:v>17</x:v>
      </x:c>
      <x:c r="B22" s="45" t="str">
        <x:v>P4–P6</x:v>
      </x:c>
      <x:c r="C22" s="45" t="str">
        <x:v>P5</x:v>
      </x:c>
      <x:c r="D22" s="48" t="str"/>
      <x:c r="E22" s="48" t="str">
        <x:v>跨學科閱讀</x:v>
      </x:c>
      <x:c r="F22" s="48" t="str">
        <x:v>學生需定位、比較及整合文字、圖表與多來源資料</x:v>
      </x:c>
      <x:c r="G22" s="48" t="str"/>
      <x:c r="H22" s="48" t="str">
        <x:v>未檢視</x:v>
      </x:c>
      <x:c r="I22" s="51" t="str">
        <x:f>IF(H22="未出現",0,IF(H22="部分出現",1,IF(H22="穩定出現",2,"")))</x:f>
      </x:c>
      <x:c r="J22" s="48" t="str"/>
      <x:c r="K22" s="48" t="str"/>
      <x:c r="L22" s="48" t="str"/>
      <x:c r="M22" s="48" t="str"/>
      <x:c r="N22" s="48" t="str"/>
      <x:c r="O22" s="54"/>
    </x:row>
    <x:row r="23" ht="42" customHeight="1">
      <x:c r="A23" s="45" t="n">
        <x:v>18</x:v>
      </x:c>
      <x:c r="B23" s="45" t="str">
        <x:v>P4–P6</x:v>
      </x:c>
      <x:c r="C23" s="45" t="str">
        <x:v>P5</x:v>
      </x:c>
      <x:c r="D23" s="48" t="str"/>
      <x:c r="E23" s="48" t="str">
        <x:v>證據推理</x:v>
      </x:c>
      <x:c r="F23" s="48" t="str">
        <x:v>學生需以數據或文本證據支持解釋，並指出限制</x:v>
      </x:c>
      <x:c r="G23" s="48" t="str"/>
      <x:c r="H23" s="48" t="str">
        <x:v>未檢視</x:v>
      </x:c>
      <x:c r="I23" s="51" t="str">
        <x:f>IF(H23="未出現",0,IF(H23="部分出現",1,IF(H23="穩定出現",2,"")))</x:f>
      </x:c>
      <x:c r="J23" s="48" t="str"/>
      <x:c r="K23" s="48" t="str"/>
      <x:c r="L23" s="48" t="str"/>
      <x:c r="M23" s="48" t="str"/>
      <x:c r="N23" s="48" t="str"/>
      <x:c r="O23" s="54"/>
    </x:row>
    <x:row r="24" ht="42" customHeight="1">
      <x:c r="A24" s="45" t="n">
        <x:v>19</x:v>
      </x:c>
      <x:c r="B24" s="45" t="str">
        <x:v>P4–P6</x:v>
      </x:c>
      <x:c r="C24" s="45" t="str">
        <x:v>P5</x:v>
      </x:c>
      <x:c r="D24" s="48" t="str"/>
      <x:c r="E24" s="48" t="str">
        <x:v>解難與建模</x:v>
      </x:c>
      <x:c r="F24" s="48" t="str">
        <x:v>學生需拆解問題、測試方法、檢查結果並修正方案</x:v>
      </x:c>
      <x:c r="G24" s="48" t="str"/>
      <x:c r="H24" s="48" t="str">
        <x:v>未檢視</x:v>
      </x:c>
      <x:c r="I24" s="51" t="str">
        <x:f>IF(H24="未出現",0,IF(H24="部分出現",1,IF(H24="穩定出現",2,"")))</x:f>
      </x:c>
      <x:c r="J24" s="48" t="str"/>
      <x:c r="K24" s="48" t="str"/>
      <x:c r="L24" s="48" t="str"/>
      <x:c r="M24" s="48" t="str"/>
      <x:c r="N24" s="48" t="str"/>
      <x:c r="O24" s="54"/>
    </x:row>
    <x:row r="25" ht="42" customHeight="1">
      <x:c r="A25" s="45" t="n">
        <x:v>20</x:v>
      </x:c>
      <x:c r="B25" s="45" t="str">
        <x:v>P4–P6</x:v>
      </x:c>
      <x:c r="C25" s="45" t="str">
        <x:v>P5</x:v>
      </x:c>
      <x:c r="D25" s="48" t="str"/>
      <x:c r="E25" s="48" t="str">
        <x:v>AI 與數碼素養</x:v>
      </x:c>
      <x:c r="F25" s="48" t="str">
        <x:v>學生需記錄工具使用、核對來源並解釋判斷</x:v>
      </x:c>
      <x:c r="G25" s="48" t="str"/>
      <x:c r="H25" s="48" t="str">
        <x:v>未檢視</x:v>
      </x:c>
      <x:c r="I25" s="51" t="str">
        <x:f>IF(H25="未出現",0,IF(H25="部分出現",1,IF(H25="穩定出現",2,"")))</x:f>
      </x:c>
      <x:c r="J25" s="48" t="str"/>
      <x:c r="K25" s="48" t="str"/>
      <x:c r="L25" s="48" t="str"/>
      <x:c r="M25" s="48" t="str"/>
      <x:c r="N25" s="48" t="str"/>
      <x:c r="O25" s="54"/>
    </x:row>
    <x:row r="26" ht="42" customHeight="1">
      <x:c r="A26" s="45" t="n">
        <x:v>21</x:v>
      </x:c>
      <x:c r="B26" s="45" t="str">
        <x:v>P4–P6</x:v>
      </x:c>
      <x:c r="C26" s="45" t="str">
        <x:v>P6</x:v>
      </x:c>
      <x:c r="D26" s="48" t="str"/>
      <x:c r="E26" s="48" t="str">
        <x:v>跨學科閱讀</x:v>
      </x:c>
      <x:c r="F26" s="48" t="str">
        <x:v>學生需定位、比較及整合文字、圖表與多來源資料</x:v>
      </x:c>
      <x:c r="G26" s="48" t="str"/>
      <x:c r="H26" s="48" t="str">
        <x:v>未檢視</x:v>
      </x:c>
      <x:c r="I26" s="51" t="str">
        <x:f>IF(H26="未出現",0,IF(H26="部分出現",1,IF(H26="穩定出現",2,"")))</x:f>
      </x:c>
      <x:c r="J26" s="48" t="str"/>
      <x:c r="K26" s="48" t="str"/>
      <x:c r="L26" s="48" t="str"/>
      <x:c r="M26" s="48" t="str"/>
      <x:c r="N26" s="48" t="str"/>
      <x:c r="O26" s="54"/>
    </x:row>
    <x:row r="27" ht="42" customHeight="1">
      <x:c r="A27" s="45" t="n">
        <x:v>22</x:v>
      </x:c>
      <x:c r="B27" s="45" t="str">
        <x:v>P4–P6</x:v>
      </x:c>
      <x:c r="C27" s="45" t="str">
        <x:v>P6</x:v>
      </x:c>
      <x:c r="D27" s="48" t="str"/>
      <x:c r="E27" s="48" t="str">
        <x:v>證據推理</x:v>
      </x:c>
      <x:c r="F27" s="48" t="str">
        <x:v>學生需以數據或文本證據支持解釋，並指出限制</x:v>
      </x:c>
      <x:c r="G27" s="48" t="str"/>
      <x:c r="H27" s="48" t="str">
        <x:v>未檢視</x:v>
      </x:c>
      <x:c r="I27" s="51" t="str">
        <x:f>IF(H27="未出現",0,IF(H27="部分出現",1,IF(H27="穩定出現",2,"")))</x:f>
      </x:c>
      <x:c r="J27" s="48" t="str"/>
      <x:c r="K27" s="48" t="str"/>
      <x:c r="L27" s="48" t="str"/>
      <x:c r="M27" s="48" t="str"/>
      <x:c r="N27" s="48" t="str"/>
      <x:c r="O27" s="54"/>
    </x:row>
    <x:row r="28" ht="42" customHeight="1">
      <x:c r="A28" s="45" t="n">
        <x:v>23</x:v>
      </x:c>
      <x:c r="B28" s="45" t="str">
        <x:v>P4–P6</x:v>
      </x:c>
      <x:c r="C28" s="45" t="str">
        <x:v>P6</x:v>
      </x:c>
      <x:c r="D28" s="48" t="str"/>
      <x:c r="E28" s="48" t="str">
        <x:v>解難與建模</x:v>
      </x:c>
      <x:c r="F28" s="48" t="str">
        <x:v>學生需拆解問題、測試方法、檢查結果並修正方案</x:v>
      </x:c>
      <x:c r="G28" s="48" t="str"/>
      <x:c r="H28" s="48" t="str">
        <x:v>未檢視</x:v>
      </x:c>
      <x:c r="I28" s="51" t="str">
        <x:f>IF(H28="未出現",0,IF(H28="部分出現",1,IF(H28="穩定出現",2,"")))</x:f>
      </x:c>
      <x:c r="J28" s="48" t="str"/>
      <x:c r="K28" s="48" t="str"/>
      <x:c r="L28" s="48" t="str"/>
      <x:c r="M28" s="48" t="str"/>
      <x:c r="N28" s="48" t="str"/>
      <x:c r="O28" s="54"/>
    </x:row>
    <x:row r="29" ht="42" customHeight="1">
      <x:c r="A29" s="45" t="n">
        <x:v>24</x:v>
      </x:c>
      <x:c r="B29" s="45" t="str">
        <x:v>P4–P6</x:v>
      </x:c>
      <x:c r="C29" s="45" t="str">
        <x:v>P6</x:v>
      </x:c>
      <x:c r="D29" s="48" t="str"/>
      <x:c r="E29" s="48" t="str">
        <x:v>AI 與數碼素養</x:v>
      </x:c>
      <x:c r="F29" s="48" t="str">
        <x:v>學生需記錄工具使用、核對來源並解釋判斷</x:v>
      </x:c>
      <x:c r="G29" s="48" t="str"/>
      <x:c r="H29" s="48" t="str">
        <x:v>未檢視</x:v>
      </x:c>
      <x:c r="I29" s="51" t="str">
        <x:f>IF(H29="未出現",0,IF(H29="部分出現",1,IF(H29="穩定出現",2,"")))</x:f>
      </x:c>
      <x:c r="J29" s="48" t="str"/>
      <x:c r="K29" s="48" t="str"/>
      <x:c r="L29" s="48" t="str"/>
      <x:c r="M29" s="48" t="str"/>
      <x:c r="N29" s="48" t="str"/>
      <x:c r="O29" s="54"/>
    </x:row>
    <x:row r="30" ht="42" customHeight="1">
      <x:c r="A30" s="45" t="n">
        <x:v>25</x:v>
      </x:c>
      <x:c r="B30" s="45" t="str">
        <x:v>S1–S3</x:v>
      </x:c>
      <x:c r="C30" s="45" t="str">
        <x:v>S1</x:v>
      </x:c>
      <x:c r="D30" s="48" t="str"/>
      <x:c r="E30" s="48" t="str">
        <x:v>跨學科閱讀</x:v>
      </x:c>
      <x:c r="F30" s="48" t="str">
        <x:v>學生需定位、比較及整合文字、圖表與多來源資料</x:v>
      </x:c>
      <x:c r="G30" s="48" t="str"/>
      <x:c r="H30" s="48" t="str">
        <x:v>未檢視</x:v>
      </x:c>
      <x:c r="I30" s="51" t="str">
        <x:f>IF(H30="未出現",0,IF(H30="部分出現",1,IF(H30="穩定出現",2,"")))</x:f>
      </x:c>
      <x:c r="J30" s="48" t="str"/>
      <x:c r="K30" s="48" t="str"/>
      <x:c r="L30" s="48" t="str"/>
      <x:c r="M30" s="48" t="str"/>
      <x:c r="N30" s="48" t="str"/>
      <x:c r="O30" s="54"/>
    </x:row>
    <x:row r="31" ht="42" customHeight="1">
      <x:c r="A31" s="45" t="n">
        <x:v>26</x:v>
      </x:c>
      <x:c r="B31" s="45" t="str">
        <x:v>S1–S3</x:v>
      </x:c>
      <x:c r="C31" s="45" t="str">
        <x:v>S1</x:v>
      </x:c>
      <x:c r="D31" s="48" t="str"/>
      <x:c r="E31" s="48" t="str">
        <x:v>證據推理</x:v>
      </x:c>
      <x:c r="F31" s="48" t="str">
        <x:v>學生需以數據或文本證據支持解釋，並指出限制</x:v>
      </x:c>
      <x:c r="G31" s="48" t="str"/>
      <x:c r="H31" s="48" t="str">
        <x:v>未檢視</x:v>
      </x:c>
      <x:c r="I31" s="51" t="str">
        <x:f>IF(H31="未出現",0,IF(H31="部分出現",1,IF(H31="穩定出現",2,"")))</x:f>
      </x:c>
      <x:c r="J31" s="48" t="str"/>
      <x:c r="K31" s="48" t="str"/>
      <x:c r="L31" s="48" t="str"/>
      <x:c r="M31" s="48" t="str"/>
      <x:c r="N31" s="48" t="str"/>
      <x:c r="O31" s="54"/>
    </x:row>
    <x:row r="32" ht="42" customHeight="1">
      <x:c r="A32" s="45" t="n">
        <x:v>27</x:v>
      </x:c>
      <x:c r="B32" s="45" t="str">
        <x:v>S1–S3</x:v>
      </x:c>
      <x:c r="C32" s="45" t="str">
        <x:v>S1</x:v>
      </x:c>
      <x:c r="D32" s="48" t="str"/>
      <x:c r="E32" s="48" t="str">
        <x:v>解難與建模</x:v>
      </x:c>
      <x:c r="F32" s="48" t="str">
        <x:v>學生需拆解問題、測試方法、檢查結果並修正方案</x:v>
      </x:c>
      <x:c r="G32" s="48" t="str"/>
      <x:c r="H32" s="48" t="str">
        <x:v>未檢視</x:v>
      </x:c>
      <x:c r="I32" s="51" t="str">
        <x:f>IF(H32="未出現",0,IF(H32="部分出現",1,IF(H32="穩定出現",2,"")))</x:f>
      </x:c>
      <x:c r="J32" s="48" t="str"/>
      <x:c r="K32" s="48" t="str"/>
      <x:c r="L32" s="48" t="str"/>
      <x:c r="M32" s="48" t="str"/>
      <x:c r="N32" s="48" t="str"/>
      <x:c r="O32" s="54"/>
    </x:row>
    <x:row r="33" ht="42" customHeight="1">
      <x:c r="A33" s="45" t="n">
        <x:v>28</x:v>
      </x:c>
      <x:c r="B33" s="45" t="str">
        <x:v>S1–S3</x:v>
      </x:c>
      <x:c r="C33" s="45" t="str">
        <x:v>S1</x:v>
      </x:c>
      <x:c r="D33" s="48" t="str"/>
      <x:c r="E33" s="48" t="str">
        <x:v>AI 與數碼素養</x:v>
      </x:c>
      <x:c r="F33" s="48" t="str">
        <x:v>學生需記錄工具使用、核對來源並解釋判斷</x:v>
      </x:c>
      <x:c r="G33" s="48" t="str"/>
      <x:c r="H33" s="48" t="str">
        <x:v>未檢視</x:v>
      </x:c>
      <x:c r="I33" s="51" t="str">
        <x:f>IF(H33="未出現",0,IF(H33="部分出現",1,IF(H33="穩定出現",2,"")))</x:f>
      </x:c>
      <x:c r="J33" s="48" t="str"/>
      <x:c r="K33" s="48" t="str"/>
      <x:c r="L33" s="48" t="str"/>
      <x:c r="M33" s="48" t="str"/>
      <x:c r="N33" s="48" t="str"/>
      <x:c r="O33" s="54"/>
    </x:row>
    <x:row r="34" ht="42" customHeight="1">
      <x:c r="A34" s="45" t="n">
        <x:v>29</x:v>
      </x:c>
      <x:c r="B34" s="45" t="str">
        <x:v>S1–S3</x:v>
      </x:c>
      <x:c r="C34" s="45" t="str">
        <x:v>S2</x:v>
      </x:c>
      <x:c r="D34" s="48" t="str"/>
      <x:c r="E34" s="48" t="str">
        <x:v>跨學科閱讀</x:v>
      </x:c>
      <x:c r="F34" s="48" t="str">
        <x:v>學生需定位、比較及整合文字、圖表與多來源資料</x:v>
      </x:c>
      <x:c r="G34" s="48" t="str"/>
      <x:c r="H34" s="48" t="str">
        <x:v>未檢視</x:v>
      </x:c>
      <x:c r="I34" s="51" t="str">
        <x:f>IF(H34="未出現",0,IF(H34="部分出現",1,IF(H34="穩定出現",2,"")))</x:f>
      </x:c>
      <x:c r="J34" s="48" t="str"/>
      <x:c r="K34" s="48" t="str"/>
      <x:c r="L34" s="48" t="str"/>
      <x:c r="M34" s="48" t="str"/>
      <x:c r="N34" s="48" t="str"/>
      <x:c r="O34" s="54"/>
    </x:row>
    <x:row r="35" ht="42" customHeight="1">
      <x:c r="A35" s="45" t="n">
        <x:v>30</x:v>
      </x:c>
      <x:c r="B35" s="45" t="str">
        <x:v>S1–S3</x:v>
      </x:c>
      <x:c r="C35" s="45" t="str">
        <x:v>S2</x:v>
      </x:c>
      <x:c r="D35" s="48" t="str"/>
      <x:c r="E35" s="48" t="str">
        <x:v>證據推理</x:v>
      </x:c>
      <x:c r="F35" s="48" t="str">
        <x:v>學生需以數據或文本證據支持解釋，並指出限制</x:v>
      </x:c>
      <x:c r="G35" s="48" t="str"/>
      <x:c r="H35" s="48" t="str">
        <x:v>未檢視</x:v>
      </x:c>
      <x:c r="I35" s="51" t="str">
        <x:f>IF(H35="未出現",0,IF(H35="部分出現",1,IF(H35="穩定出現",2,"")))</x:f>
      </x:c>
      <x:c r="J35" s="48" t="str"/>
      <x:c r="K35" s="48" t="str"/>
      <x:c r="L35" s="48" t="str"/>
      <x:c r="M35" s="48" t="str"/>
      <x:c r="N35" s="48" t="str"/>
      <x:c r="O35" s="54"/>
    </x:row>
    <x:row r="36" ht="42" customHeight="1">
      <x:c r="A36" s="45" t="n">
        <x:v>31</x:v>
      </x:c>
      <x:c r="B36" s="45" t="str">
        <x:v>S1–S3</x:v>
      </x:c>
      <x:c r="C36" s="45" t="str">
        <x:v>S2</x:v>
      </x:c>
      <x:c r="D36" s="48" t="str"/>
      <x:c r="E36" s="48" t="str">
        <x:v>解難與建模</x:v>
      </x:c>
      <x:c r="F36" s="48" t="str">
        <x:v>學生需拆解問題、測試方法、檢查結果並修正方案</x:v>
      </x:c>
      <x:c r="G36" s="48" t="str"/>
      <x:c r="H36" s="48" t="str">
        <x:v>未檢視</x:v>
      </x:c>
      <x:c r="I36" s="51" t="str">
        <x:f>IF(H36="未出現",0,IF(H36="部分出現",1,IF(H36="穩定出現",2,"")))</x:f>
      </x:c>
      <x:c r="J36" s="48" t="str"/>
      <x:c r="K36" s="48" t="str"/>
      <x:c r="L36" s="48" t="str"/>
      <x:c r="M36" s="48" t="str"/>
      <x:c r="N36" s="48" t="str"/>
      <x:c r="O36" s="54"/>
    </x:row>
    <x:row r="37" ht="42" customHeight="1">
      <x:c r="A37" s="45" t="n">
        <x:v>32</x:v>
      </x:c>
      <x:c r="B37" s="45" t="str">
        <x:v>S1–S3</x:v>
      </x:c>
      <x:c r="C37" s="45" t="str">
        <x:v>S2</x:v>
      </x:c>
      <x:c r="D37" s="48" t="str"/>
      <x:c r="E37" s="48" t="str">
        <x:v>AI 與數碼素養</x:v>
      </x:c>
      <x:c r="F37" s="48" t="str">
        <x:v>學生需記錄工具使用、核對來源並解釋判斷</x:v>
      </x:c>
      <x:c r="G37" s="48" t="str"/>
      <x:c r="H37" s="48" t="str">
        <x:v>未檢視</x:v>
      </x:c>
      <x:c r="I37" s="51" t="str">
        <x:f>IF(H37="未出現",0,IF(H37="部分出現",1,IF(H37="穩定出現",2,"")))</x:f>
      </x:c>
      <x:c r="J37" s="48" t="str"/>
      <x:c r="K37" s="48" t="str"/>
      <x:c r="L37" s="48" t="str"/>
      <x:c r="M37" s="48" t="str"/>
      <x:c r="N37" s="48" t="str"/>
      <x:c r="O37" s="54"/>
    </x:row>
    <x:row r="38" ht="42" customHeight="1">
      <x:c r="A38" s="45" t="n">
        <x:v>33</x:v>
      </x:c>
      <x:c r="B38" s="45" t="str">
        <x:v>S1–S3</x:v>
      </x:c>
      <x:c r="C38" s="45" t="str">
        <x:v>S3</x:v>
      </x:c>
      <x:c r="D38" s="48" t="str"/>
      <x:c r="E38" s="48" t="str">
        <x:v>跨學科閱讀</x:v>
      </x:c>
      <x:c r="F38" s="48" t="str">
        <x:v>學生需定位、比較及整合文字、圖表與多來源資料</x:v>
      </x:c>
      <x:c r="G38" s="48" t="str"/>
      <x:c r="H38" s="48" t="str">
        <x:v>未檢視</x:v>
      </x:c>
      <x:c r="I38" s="51" t="str">
        <x:f>IF(H38="未出現",0,IF(H38="部分出現",1,IF(H38="穩定出現",2,"")))</x:f>
      </x:c>
      <x:c r="J38" s="48" t="str"/>
      <x:c r="K38" s="48" t="str"/>
      <x:c r="L38" s="48" t="str"/>
      <x:c r="M38" s="48" t="str"/>
      <x:c r="N38" s="48" t="str"/>
      <x:c r="O38" s="54"/>
    </x:row>
    <x:row r="39" ht="42" customHeight="1">
      <x:c r="A39" s="45" t="n">
        <x:v>34</x:v>
      </x:c>
      <x:c r="B39" s="45" t="str">
        <x:v>S1–S3</x:v>
      </x:c>
      <x:c r="C39" s="45" t="str">
        <x:v>S3</x:v>
      </x:c>
      <x:c r="D39" s="48" t="str"/>
      <x:c r="E39" s="48" t="str">
        <x:v>證據推理</x:v>
      </x:c>
      <x:c r="F39" s="48" t="str">
        <x:v>學生需以數據或文本證據支持解釋，並指出限制</x:v>
      </x:c>
      <x:c r="G39" s="48" t="str"/>
      <x:c r="H39" s="48" t="str">
        <x:v>未檢視</x:v>
      </x:c>
      <x:c r="I39" s="51" t="str">
        <x:f>IF(H39="未出現",0,IF(H39="部分出現",1,IF(H39="穩定出現",2,"")))</x:f>
      </x:c>
      <x:c r="J39" s="48" t="str"/>
      <x:c r="K39" s="48" t="str"/>
      <x:c r="L39" s="48" t="str"/>
      <x:c r="M39" s="48" t="str"/>
      <x:c r="N39" s="48" t="str"/>
      <x:c r="O39" s="54"/>
    </x:row>
    <x:row r="40" ht="42" customHeight="1">
      <x:c r="A40" s="45" t="n">
        <x:v>35</x:v>
      </x:c>
      <x:c r="B40" s="45" t="str">
        <x:v>S1–S3</x:v>
      </x:c>
      <x:c r="C40" s="45" t="str">
        <x:v>S3</x:v>
      </x:c>
      <x:c r="D40" s="48" t="str"/>
      <x:c r="E40" s="48" t="str">
        <x:v>解難與建模</x:v>
      </x:c>
      <x:c r="F40" s="48" t="str">
        <x:v>學生需拆解問題、測試方法、檢查結果並修正方案</x:v>
      </x:c>
      <x:c r="G40" s="48" t="str"/>
      <x:c r="H40" s="48" t="str">
        <x:v>未檢視</x:v>
      </x:c>
      <x:c r="I40" s="51" t="str">
        <x:f>IF(H40="未出現",0,IF(H40="部分出現",1,IF(H40="穩定出現",2,"")))</x:f>
      </x:c>
      <x:c r="J40" s="48" t="str"/>
      <x:c r="K40" s="48" t="str"/>
      <x:c r="L40" s="48" t="str"/>
      <x:c r="M40" s="48" t="str"/>
      <x:c r="N40" s="48" t="str"/>
      <x:c r="O40" s="54"/>
    </x:row>
    <x:row r="41" ht="42" customHeight="1">
      <x:c r="A41" s="45" t="n">
        <x:v>36</x:v>
      </x:c>
      <x:c r="B41" s="45" t="str">
        <x:v>S1–S3</x:v>
      </x:c>
      <x:c r="C41" s="45" t="str">
        <x:v>S3</x:v>
      </x:c>
      <x:c r="D41" s="48" t="str"/>
      <x:c r="E41" s="48" t="str">
        <x:v>AI 與數碼素養</x:v>
      </x:c>
      <x:c r="F41" s="48" t="str">
        <x:v>學生需記錄工具使用、核對來源並解釋判斷</x:v>
      </x:c>
      <x:c r="G41" s="48" t="str"/>
      <x:c r="H41" s="48" t="str">
        <x:v>未檢視</x:v>
      </x:c>
      <x:c r="I41" s="51" t="str">
        <x:f>IF(H41="未出現",0,IF(H41="部分出現",1,IF(H41="穩定出現",2,"")))</x:f>
      </x:c>
      <x:c r="J41" s="48" t="str"/>
      <x:c r="K41" s="48" t="str"/>
      <x:c r="L41" s="48" t="str"/>
      <x:c r="M41" s="48" t="str"/>
      <x:c r="N41" s="48" t="str"/>
      <x:c r="O41" s="54"/>
    </x:row>
    <x:row r="42" ht="42" customHeight="1">
      <x:c r="A42" s="45" t="n">
        <x:v>37</x:v>
      </x:c>
      <x:c r="B42" s="45" t="str">
        <x:v>S4–S6</x:v>
      </x:c>
      <x:c r="C42" s="45" t="str">
        <x:v>S4</x:v>
      </x:c>
      <x:c r="D42" s="48" t="str"/>
      <x:c r="E42" s="48" t="str">
        <x:v>跨學科閱讀</x:v>
      </x:c>
      <x:c r="F42" s="48" t="str">
        <x:v>學生需定位、比較及整合文字、圖表與多來源資料</x:v>
      </x:c>
      <x:c r="G42" s="48" t="str"/>
      <x:c r="H42" s="48" t="str">
        <x:v>未檢視</x:v>
      </x:c>
      <x:c r="I42" s="51" t="str">
        <x:f>IF(H42="未出現",0,IF(H42="部分出現",1,IF(H42="穩定出現",2,"")))</x:f>
      </x:c>
      <x:c r="J42" s="48" t="str"/>
      <x:c r="K42" s="48" t="str"/>
      <x:c r="L42" s="48" t="str"/>
      <x:c r="M42" s="48" t="str"/>
      <x:c r="N42" s="48" t="str"/>
      <x:c r="O42" s="54"/>
    </x:row>
    <x:row r="43" ht="42" customHeight="1">
      <x:c r="A43" s="45" t="n">
        <x:v>38</x:v>
      </x:c>
      <x:c r="B43" s="45" t="str">
        <x:v>S4–S6</x:v>
      </x:c>
      <x:c r="C43" s="45" t="str">
        <x:v>S4</x:v>
      </x:c>
      <x:c r="D43" s="48" t="str"/>
      <x:c r="E43" s="48" t="str">
        <x:v>證據推理</x:v>
      </x:c>
      <x:c r="F43" s="48" t="str">
        <x:v>學生需以數據或文本證據支持解釋，並指出限制</x:v>
      </x:c>
      <x:c r="G43" s="48" t="str"/>
      <x:c r="H43" s="48" t="str">
        <x:v>未檢視</x:v>
      </x:c>
      <x:c r="I43" s="51" t="str">
        <x:f>IF(H43="未出現",0,IF(H43="部分出現",1,IF(H43="穩定出現",2,"")))</x:f>
      </x:c>
      <x:c r="J43" s="48" t="str"/>
      <x:c r="K43" s="48" t="str"/>
      <x:c r="L43" s="48" t="str"/>
      <x:c r="M43" s="48" t="str"/>
      <x:c r="N43" s="48" t="str"/>
      <x:c r="O43" s="54"/>
    </x:row>
    <x:row r="44" ht="42" customHeight="1">
      <x:c r="A44" s="45" t="n">
        <x:v>39</x:v>
      </x:c>
      <x:c r="B44" s="45" t="str">
        <x:v>S4–S6</x:v>
      </x:c>
      <x:c r="C44" s="45" t="str">
        <x:v>S4</x:v>
      </x:c>
      <x:c r="D44" s="48" t="str"/>
      <x:c r="E44" s="48" t="str">
        <x:v>解難與建模</x:v>
      </x:c>
      <x:c r="F44" s="48" t="str">
        <x:v>學生需拆解問題、測試方法、檢查結果並修正方案</x:v>
      </x:c>
      <x:c r="G44" s="48" t="str"/>
      <x:c r="H44" s="48" t="str">
        <x:v>未檢視</x:v>
      </x:c>
      <x:c r="I44" s="51" t="str">
        <x:f>IF(H44="未出現",0,IF(H44="部分出現",1,IF(H44="穩定出現",2,"")))</x:f>
      </x:c>
      <x:c r="J44" s="48" t="str"/>
      <x:c r="K44" s="48" t="str"/>
      <x:c r="L44" s="48" t="str"/>
      <x:c r="M44" s="48" t="str"/>
      <x:c r="N44" s="48" t="str"/>
      <x:c r="O44" s="54"/>
    </x:row>
    <x:row r="45" ht="42" customHeight="1">
      <x:c r="A45" s="45" t="n">
        <x:v>40</x:v>
      </x:c>
      <x:c r="B45" s="45" t="str">
        <x:v>S4–S6</x:v>
      </x:c>
      <x:c r="C45" s="45" t="str">
        <x:v>S4</x:v>
      </x:c>
      <x:c r="D45" s="48" t="str"/>
      <x:c r="E45" s="48" t="str">
        <x:v>AI 與數碼素養</x:v>
      </x:c>
      <x:c r="F45" s="48" t="str">
        <x:v>學生需記錄工具使用、核對來源並解釋判斷</x:v>
      </x:c>
      <x:c r="G45" s="48" t="str"/>
      <x:c r="H45" s="48" t="str">
        <x:v>未檢視</x:v>
      </x:c>
      <x:c r="I45" s="51" t="str">
        <x:f>IF(H45="未出現",0,IF(H45="部分出現",1,IF(H45="穩定出現",2,"")))</x:f>
      </x:c>
      <x:c r="J45" s="48" t="str"/>
      <x:c r="K45" s="48" t="str"/>
      <x:c r="L45" s="48" t="str"/>
      <x:c r="M45" s="48" t="str"/>
      <x:c r="N45" s="48" t="str"/>
      <x:c r="O45" s="54"/>
    </x:row>
    <x:row r="46" ht="42" customHeight="1">
      <x:c r="A46" s="45" t="n">
        <x:v>41</x:v>
      </x:c>
      <x:c r="B46" s="45" t="str">
        <x:v>S4–S6</x:v>
      </x:c>
      <x:c r="C46" s="45" t="str">
        <x:v>S5</x:v>
      </x:c>
      <x:c r="D46" s="48" t="str"/>
      <x:c r="E46" s="48" t="str">
        <x:v>跨學科閱讀</x:v>
      </x:c>
      <x:c r="F46" s="48" t="str">
        <x:v>學生需定位、比較及整合文字、圖表與多來源資料</x:v>
      </x:c>
      <x:c r="G46" s="48" t="str"/>
      <x:c r="H46" s="48" t="str">
        <x:v>未檢視</x:v>
      </x:c>
      <x:c r="I46" s="51" t="str">
        <x:f>IF(H46="未出現",0,IF(H46="部分出現",1,IF(H46="穩定出現",2,"")))</x:f>
      </x:c>
      <x:c r="J46" s="48" t="str"/>
      <x:c r="K46" s="48" t="str"/>
      <x:c r="L46" s="48" t="str"/>
      <x:c r="M46" s="48" t="str"/>
      <x:c r="N46" s="48" t="str"/>
      <x:c r="O46" s="54"/>
    </x:row>
    <x:row r="47" ht="42" customHeight="1">
      <x:c r="A47" s="45" t="n">
        <x:v>42</x:v>
      </x:c>
      <x:c r="B47" s="45" t="str">
        <x:v>S4–S6</x:v>
      </x:c>
      <x:c r="C47" s="45" t="str">
        <x:v>S5</x:v>
      </x:c>
      <x:c r="D47" s="48" t="str"/>
      <x:c r="E47" s="48" t="str">
        <x:v>證據推理</x:v>
      </x:c>
      <x:c r="F47" s="48" t="str">
        <x:v>學生需以數據或文本證據支持解釋，並指出限制</x:v>
      </x:c>
      <x:c r="G47" s="48" t="str"/>
      <x:c r="H47" s="48" t="str">
        <x:v>未檢視</x:v>
      </x:c>
      <x:c r="I47" s="51" t="str">
        <x:f>IF(H47="未出現",0,IF(H47="部分出現",1,IF(H47="穩定出現",2,"")))</x:f>
      </x:c>
      <x:c r="J47" s="48" t="str"/>
      <x:c r="K47" s="48" t="str"/>
      <x:c r="L47" s="48" t="str"/>
      <x:c r="M47" s="48" t="str"/>
      <x:c r="N47" s="48" t="str"/>
      <x:c r="O47" s="54"/>
    </x:row>
    <x:row r="48" ht="42" customHeight="1">
      <x:c r="A48" s="45" t="n">
        <x:v>43</x:v>
      </x:c>
      <x:c r="B48" s="45" t="str">
        <x:v>S4–S6</x:v>
      </x:c>
      <x:c r="C48" s="45" t="str">
        <x:v>S5</x:v>
      </x:c>
      <x:c r="D48" s="48" t="str"/>
      <x:c r="E48" s="48" t="str">
        <x:v>解難與建模</x:v>
      </x:c>
      <x:c r="F48" s="48" t="str">
        <x:v>學生需拆解問題、測試方法、檢查結果並修正方案</x:v>
      </x:c>
      <x:c r="G48" s="48" t="str"/>
      <x:c r="H48" s="48" t="str">
        <x:v>未檢視</x:v>
      </x:c>
      <x:c r="I48" s="51" t="str">
        <x:f>IF(H48="未出現",0,IF(H48="部分出現",1,IF(H48="穩定出現",2,"")))</x:f>
      </x:c>
      <x:c r="J48" s="48" t="str"/>
      <x:c r="K48" s="48" t="str"/>
      <x:c r="L48" s="48" t="str"/>
      <x:c r="M48" s="48" t="str"/>
      <x:c r="N48" s="48" t="str"/>
      <x:c r="O48" s="54"/>
    </x:row>
    <x:row r="49" ht="42" customHeight="1">
      <x:c r="A49" s="45" t="n">
        <x:v>44</x:v>
      </x:c>
      <x:c r="B49" s="45" t="str">
        <x:v>S4–S6</x:v>
      </x:c>
      <x:c r="C49" s="45" t="str">
        <x:v>S5</x:v>
      </x:c>
      <x:c r="D49" s="48" t="str"/>
      <x:c r="E49" s="48" t="str">
        <x:v>AI 與數碼素養</x:v>
      </x:c>
      <x:c r="F49" s="48" t="str">
        <x:v>學生需記錄工具使用、核對來源並解釋判斷</x:v>
      </x:c>
      <x:c r="G49" s="48" t="str"/>
      <x:c r="H49" s="48" t="str">
        <x:v>未檢視</x:v>
      </x:c>
      <x:c r="I49" s="51" t="str">
        <x:f>IF(H49="未出現",0,IF(H49="部分出現",1,IF(H49="穩定出現",2,"")))</x:f>
      </x:c>
      <x:c r="J49" s="48" t="str"/>
      <x:c r="K49" s="48" t="str"/>
      <x:c r="L49" s="48" t="str"/>
      <x:c r="M49" s="48" t="str"/>
      <x:c r="N49" s="48" t="str"/>
      <x:c r="O49" s="54"/>
    </x:row>
    <x:row r="50" ht="42" customHeight="1">
      <x:c r="A50" s="45" t="n">
        <x:v>45</x:v>
      </x:c>
      <x:c r="B50" s="45" t="str">
        <x:v>S4–S6</x:v>
      </x:c>
      <x:c r="C50" s="45" t="str">
        <x:v>S6</x:v>
      </x:c>
      <x:c r="D50" s="48" t="str"/>
      <x:c r="E50" s="48" t="str">
        <x:v>跨學科閱讀</x:v>
      </x:c>
      <x:c r="F50" s="48" t="str">
        <x:v>學生需定位、比較及整合文字、圖表與多來源資料</x:v>
      </x:c>
      <x:c r="G50" s="48" t="str"/>
      <x:c r="H50" s="48" t="str">
        <x:v>未檢視</x:v>
      </x:c>
      <x:c r="I50" s="51" t="str">
        <x:f>IF(H50="未出現",0,IF(H50="部分出現",1,IF(H50="穩定出現",2,"")))</x:f>
      </x:c>
      <x:c r="J50" s="48" t="str"/>
      <x:c r="K50" s="48" t="str"/>
      <x:c r="L50" s="48" t="str"/>
      <x:c r="M50" s="48" t="str"/>
      <x:c r="N50" s="48" t="str"/>
      <x:c r="O50" s="54"/>
    </x:row>
    <x:row r="51" ht="42" customHeight="1">
      <x:c r="A51" s="45" t="n">
        <x:v>46</x:v>
      </x:c>
      <x:c r="B51" s="45" t="str">
        <x:v>S4–S6</x:v>
      </x:c>
      <x:c r="C51" s="45" t="str">
        <x:v>S6</x:v>
      </x:c>
      <x:c r="D51" s="48" t="str"/>
      <x:c r="E51" s="48" t="str">
        <x:v>證據推理</x:v>
      </x:c>
      <x:c r="F51" s="48" t="str">
        <x:v>學生需以數據或文本證據支持解釋，並指出限制</x:v>
      </x:c>
      <x:c r="G51" s="48" t="str"/>
      <x:c r="H51" s="48" t="str">
        <x:v>未檢視</x:v>
      </x:c>
      <x:c r="I51" s="51" t="str">
        <x:f>IF(H51="未出現",0,IF(H51="部分出現",1,IF(H51="穩定出現",2,"")))</x:f>
      </x:c>
      <x:c r="J51" s="48" t="str"/>
      <x:c r="K51" s="48" t="str"/>
      <x:c r="L51" s="48" t="str"/>
      <x:c r="M51" s="48" t="str"/>
      <x:c r="N51" s="48" t="str"/>
      <x:c r="O51" s="54"/>
    </x:row>
    <x:row r="52" ht="42" customHeight="1">
      <x:c r="A52" s="45" t="n">
        <x:v>47</x:v>
      </x:c>
      <x:c r="B52" s="45" t="str">
        <x:v>S4–S6</x:v>
      </x:c>
      <x:c r="C52" s="45" t="str">
        <x:v>S6</x:v>
      </x:c>
      <x:c r="D52" s="48" t="str"/>
      <x:c r="E52" s="48" t="str">
        <x:v>解難與建模</x:v>
      </x:c>
      <x:c r="F52" s="48" t="str">
        <x:v>學生需拆解問題、測試方法、檢查結果並修正方案</x:v>
      </x:c>
      <x:c r="G52" s="48" t="str"/>
      <x:c r="H52" s="48" t="str">
        <x:v>未檢視</x:v>
      </x:c>
      <x:c r="I52" s="51" t="str">
        <x:f>IF(H52="未出現",0,IF(H52="部分出現",1,IF(H52="穩定出現",2,"")))</x:f>
      </x:c>
      <x:c r="J52" s="48" t="str"/>
      <x:c r="K52" s="48" t="str"/>
      <x:c r="L52" s="48" t="str"/>
      <x:c r="M52" s="48" t="str"/>
      <x:c r="N52" s="48" t="str"/>
      <x:c r="O52" s="54"/>
    </x:row>
    <x:row r="53" ht="42" customHeight="1">
      <x:c r="A53" s="45" t="n">
        <x:v>48</x:v>
      </x:c>
      <x:c r="B53" s="45" t="str">
        <x:v>S4–S6</x:v>
      </x:c>
      <x:c r="C53" s="45" t="str">
        <x:v>S6</x:v>
      </x:c>
      <x:c r="D53" s="48" t="str"/>
      <x:c r="E53" s="48" t="str">
        <x:v>AI 與數碼素養</x:v>
      </x:c>
      <x:c r="F53" s="48" t="str">
        <x:v>學生需記錄工具使用、核對來源並解釋判斷</x:v>
      </x:c>
      <x:c r="G53" s="48" t="str"/>
      <x:c r="H53" s="48" t="str">
        <x:v>未檢視</x:v>
      </x:c>
      <x:c r="I53" s="51" t="str">
        <x:f>IF(H53="未出現",0,IF(H53="部分出現",1,IF(H53="穩定出現",2,"")))</x:f>
      </x:c>
      <x:c r="J53" s="48" t="str"/>
      <x:c r="K53" s="48" t="str"/>
      <x:c r="L53" s="48" t="str"/>
      <x:c r="M53" s="48" t="str"/>
      <x:c r="N53" s="48" t="str"/>
      <x:c r="O53" s="54"/>
    </x:row>
    <x:row r="54" ht="42" customHeight="1">
      <x:c r="A54" s="45"/>
      <x:c r="B54" s="45"/>
      <x:c r="C54" s="45"/>
      <x:c r="D54" s="48"/>
      <x:c r="E54" s="48"/>
      <x:c r="F54" s="48"/>
      <x:c r="G54" s="48"/>
      <x:c r="H54" s="48"/>
      <x:c r="I54" s="51" t="str">
        <x:f>IF(H54="未出現",0,IF(H54="部分出現",1,IF(H54="穩定出現",2,"")))</x:f>
      </x:c>
      <x:c r="J54" s="48"/>
      <x:c r="K54" s="48"/>
      <x:c r="L54" s="48"/>
      <x:c r="M54" s="48"/>
      <x:c r="N54" s="48"/>
      <x:c r="O54" s="54"/>
    </x:row>
    <x:row r="55" ht="42" customHeight="1">
      <x:c r="A55" s="45"/>
      <x:c r="B55" s="45"/>
      <x:c r="C55" s="45"/>
      <x:c r="D55" s="48"/>
      <x:c r="E55" s="48"/>
      <x:c r="F55" s="48"/>
      <x:c r="G55" s="48"/>
      <x:c r="H55" s="48"/>
      <x:c r="I55" s="51" t="str">
        <x:f>IF(H55="未出現",0,IF(H55="部分出現",1,IF(H55="穩定出現",2,"")))</x:f>
      </x:c>
      <x:c r="J55" s="48"/>
      <x:c r="K55" s="48"/>
      <x:c r="L55" s="48"/>
      <x:c r="M55" s="48"/>
      <x:c r="N55" s="48"/>
      <x:c r="O55" s="54"/>
    </x:row>
    <x:row r="56" ht="42" customHeight="1">
      <x:c r="A56" s="45"/>
      <x:c r="B56" s="45"/>
      <x:c r="C56" s="45"/>
      <x:c r="D56" s="48"/>
      <x:c r="E56" s="48"/>
      <x:c r="F56" s="48"/>
      <x:c r="G56" s="48"/>
      <x:c r="H56" s="48"/>
      <x:c r="I56" s="51" t="str">
        <x:f>IF(H56="未出現",0,IF(H56="部分出現",1,IF(H56="穩定出現",2,"")))</x:f>
      </x:c>
      <x:c r="J56" s="48"/>
      <x:c r="K56" s="48"/>
      <x:c r="L56" s="48"/>
      <x:c r="M56" s="48"/>
      <x:c r="N56" s="48"/>
      <x:c r="O56" s="54"/>
    </x:row>
    <x:row r="57" ht="42" customHeight="1">
      <x:c r="A57" s="45"/>
      <x:c r="B57" s="45"/>
      <x:c r="C57" s="45"/>
      <x:c r="D57" s="48"/>
      <x:c r="E57" s="48"/>
      <x:c r="F57" s="48"/>
      <x:c r="G57" s="48"/>
      <x:c r="H57" s="48"/>
      <x:c r="I57" s="51" t="str">
        <x:f>IF(H57="未出現",0,IF(H57="部分出現",1,IF(H57="穩定出現",2,"")))</x:f>
      </x:c>
      <x:c r="J57" s="48"/>
      <x:c r="K57" s="48"/>
      <x:c r="L57" s="48"/>
      <x:c r="M57" s="48"/>
      <x:c r="N57" s="48"/>
      <x:c r="O57" s="54"/>
    </x:row>
    <x:row r="58" ht="42" customHeight="1">
      <x:c r="A58" s="45"/>
      <x:c r="B58" s="45"/>
      <x:c r="C58" s="45"/>
      <x:c r="D58" s="48"/>
      <x:c r="E58" s="48"/>
      <x:c r="F58" s="48"/>
      <x:c r="G58" s="48"/>
      <x:c r="H58" s="48"/>
      <x:c r="I58" s="51" t="str">
        <x:f>IF(H58="未出現",0,IF(H58="部分出現",1,IF(H58="穩定出現",2,"")))</x:f>
      </x:c>
      <x:c r="J58" s="48"/>
      <x:c r="K58" s="48"/>
      <x:c r="L58" s="48"/>
      <x:c r="M58" s="48"/>
      <x:c r="N58" s="48"/>
      <x:c r="O58" s="54"/>
    </x:row>
    <x:row r="59" ht="42" customHeight="1">
      <x:c r="A59" s="45"/>
      <x:c r="B59" s="45"/>
      <x:c r="C59" s="45"/>
      <x:c r="D59" s="48"/>
      <x:c r="E59" s="48"/>
      <x:c r="F59" s="48"/>
      <x:c r="G59" s="48"/>
      <x:c r="H59" s="48"/>
      <x:c r="I59" s="51" t="str">
        <x:f>IF(H59="未出現",0,IF(H59="部分出現",1,IF(H59="穩定出現",2,"")))</x:f>
      </x:c>
      <x:c r="J59" s="48"/>
      <x:c r="K59" s="48"/>
      <x:c r="L59" s="48"/>
      <x:c r="M59" s="48"/>
      <x:c r="N59" s="48"/>
      <x:c r="O59" s="54"/>
    </x:row>
    <x:row r="60" ht="42" customHeight="1">
      <x:c r="A60" s="45"/>
      <x:c r="B60" s="45"/>
      <x:c r="C60" s="45"/>
      <x:c r="D60" s="48"/>
      <x:c r="E60" s="48"/>
      <x:c r="F60" s="48"/>
      <x:c r="G60" s="48"/>
      <x:c r="H60" s="48"/>
      <x:c r="I60" s="51" t="str">
        <x:f>IF(H60="未出現",0,IF(H60="部分出現",1,IF(H60="穩定出現",2,"")))</x:f>
      </x:c>
      <x:c r="J60" s="48"/>
      <x:c r="K60" s="48"/>
      <x:c r="L60" s="48"/>
      <x:c r="M60" s="48"/>
      <x:c r="N60" s="48"/>
      <x:c r="O60" s="54"/>
    </x:row>
    <x:row r="61" ht="42" customHeight="1">
      <x:c r="A61" s="45"/>
      <x:c r="B61" s="45"/>
      <x:c r="C61" s="45"/>
      <x:c r="D61" s="48"/>
      <x:c r="E61" s="48"/>
      <x:c r="F61" s="48"/>
      <x:c r="G61" s="48"/>
      <x:c r="H61" s="48"/>
      <x:c r="I61" s="51" t="str">
        <x:f>IF(H61="未出現",0,IF(H61="部分出現",1,IF(H61="穩定出現",2,"")))</x:f>
      </x:c>
      <x:c r="J61" s="48"/>
      <x:c r="K61" s="48"/>
      <x:c r="L61" s="48"/>
      <x:c r="M61" s="48"/>
      <x:c r="N61" s="48"/>
      <x:c r="O61" s="54"/>
    </x:row>
    <x:row r="62" ht="42" customHeight="1">
      <x:c r="A62" s="45"/>
      <x:c r="B62" s="45"/>
      <x:c r="C62" s="45"/>
      <x:c r="D62" s="48"/>
      <x:c r="E62" s="48"/>
      <x:c r="F62" s="48"/>
      <x:c r="G62" s="48"/>
      <x:c r="H62" s="48"/>
      <x:c r="I62" s="51" t="str">
        <x:f>IF(H62="未出現",0,IF(H62="部分出現",1,IF(H62="穩定出現",2,"")))</x:f>
      </x:c>
      <x:c r="J62" s="48"/>
      <x:c r="K62" s="48"/>
      <x:c r="L62" s="48"/>
      <x:c r="M62" s="48"/>
      <x:c r="N62" s="48"/>
      <x:c r="O62" s="54"/>
    </x:row>
    <x:row r="63" ht="42" customHeight="1">
      <x:c r="A63" s="45"/>
      <x:c r="B63" s="45"/>
      <x:c r="C63" s="45"/>
      <x:c r="D63" s="48"/>
      <x:c r="E63" s="48"/>
      <x:c r="F63" s="48"/>
      <x:c r="G63" s="48"/>
      <x:c r="H63" s="48"/>
      <x:c r="I63" s="51" t="str">
        <x:f>IF(H63="未出現",0,IF(H63="部分出現",1,IF(H63="穩定出現",2,"")))</x:f>
      </x:c>
      <x:c r="J63" s="48"/>
      <x:c r="K63" s="48"/>
      <x:c r="L63" s="48"/>
      <x:c r="M63" s="48"/>
      <x:c r="N63" s="48"/>
      <x:c r="O63" s="54"/>
    </x:row>
    <x:row r="64" ht="42" customHeight="1">
      <x:c r="A64" s="45"/>
      <x:c r="B64" s="45"/>
      <x:c r="C64" s="45"/>
      <x:c r="D64" s="48"/>
      <x:c r="E64" s="48"/>
      <x:c r="F64" s="48"/>
      <x:c r="G64" s="48"/>
      <x:c r="H64" s="48"/>
      <x:c r="I64" s="51" t="str">
        <x:f>IF(H64="未出現",0,IF(H64="部分出現",1,IF(H64="穩定出現",2,"")))</x:f>
      </x:c>
      <x:c r="J64" s="48"/>
      <x:c r="K64" s="48"/>
      <x:c r="L64" s="48"/>
      <x:c r="M64" s="48"/>
      <x:c r="N64" s="48"/>
      <x:c r="O64" s="54"/>
    </x:row>
    <x:row r="65" ht="42" customHeight="1">
      <x:c r="A65" s="45"/>
      <x:c r="B65" s="45"/>
      <x:c r="C65" s="45"/>
      <x:c r="D65" s="48"/>
      <x:c r="E65" s="48"/>
      <x:c r="F65" s="48"/>
      <x:c r="G65" s="48"/>
      <x:c r="H65" s="48"/>
      <x:c r="I65" s="51" t="str">
        <x:f>IF(H65="未出現",0,IF(H65="部分出現",1,IF(H65="穩定出現",2,"")))</x:f>
      </x:c>
      <x:c r="J65" s="48"/>
      <x:c r="K65" s="48"/>
      <x:c r="L65" s="48"/>
      <x:c r="M65" s="48"/>
      <x:c r="N65" s="48"/>
      <x:c r="O65" s="54"/>
    </x:row>
    <x:row r="66" ht="42" customHeight="1">
      <x:c r="A66" s="45"/>
      <x:c r="B66" s="45"/>
      <x:c r="C66" s="45"/>
      <x:c r="D66" s="48"/>
      <x:c r="E66" s="48"/>
      <x:c r="F66" s="48"/>
      <x:c r="G66" s="48"/>
      <x:c r="H66" s="48"/>
      <x:c r="I66" s="51" t="str">
        <x:f>IF(H66="未出現",0,IF(H66="部分出現",1,IF(H66="穩定出現",2,"")))</x:f>
      </x:c>
      <x:c r="J66" s="48"/>
      <x:c r="K66" s="48"/>
      <x:c r="L66" s="48"/>
      <x:c r="M66" s="48"/>
      <x:c r="N66" s="48"/>
      <x:c r="O66" s="54"/>
    </x:row>
    <x:row r="67" ht="42" customHeight="1">
      <x:c r="A67" s="45"/>
      <x:c r="B67" s="45"/>
      <x:c r="C67" s="45"/>
      <x:c r="D67" s="48"/>
      <x:c r="E67" s="48"/>
      <x:c r="F67" s="48"/>
      <x:c r="G67" s="48"/>
      <x:c r="H67" s="48"/>
      <x:c r="I67" s="51" t="str">
        <x:f>IF(H67="未出現",0,IF(H67="部分出現",1,IF(H67="穩定出現",2,"")))</x:f>
      </x:c>
      <x:c r="J67" s="48"/>
      <x:c r="K67" s="48"/>
      <x:c r="L67" s="48"/>
      <x:c r="M67" s="48"/>
      <x:c r="N67" s="48"/>
      <x:c r="O67" s="54"/>
    </x:row>
    <x:row r="68" ht="42" customHeight="1">
      <x:c r="A68" s="45"/>
      <x:c r="B68" s="45"/>
      <x:c r="C68" s="45"/>
      <x:c r="D68" s="48"/>
      <x:c r="E68" s="48"/>
      <x:c r="F68" s="48"/>
      <x:c r="G68" s="48"/>
      <x:c r="H68" s="48"/>
      <x:c r="I68" s="51" t="str">
        <x:f>IF(H68="未出現",0,IF(H68="部分出現",1,IF(H68="穩定出現",2,"")))</x:f>
      </x:c>
      <x:c r="J68" s="48"/>
      <x:c r="K68" s="48"/>
      <x:c r="L68" s="48"/>
      <x:c r="M68" s="48"/>
      <x:c r="N68" s="48"/>
      <x:c r="O68" s="54"/>
    </x:row>
    <x:row r="69" ht="42" customHeight="1">
      <x:c r="A69" s="45"/>
      <x:c r="B69" s="45"/>
      <x:c r="C69" s="45"/>
      <x:c r="D69" s="48"/>
      <x:c r="E69" s="48"/>
      <x:c r="F69" s="48"/>
      <x:c r="G69" s="48"/>
      <x:c r="H69" s="48"/>
      <x:c r="I69" s="51" t="str">
        <x:f>IF(H69="未出現",0,IF(H69="部分出現",1,IF(H69="穩定出現",2,"")))</x:f>
      </x:c>
      <x:c r="J69" s="48"/>
      <x:c r="K69" s="48"/>
      <x:c r="L69" s="48"/>
      <x:c r="M69" s="48"/>
      <x:c r="N69" s="48"/>
      <x:c r="O69" s="54"/>
    </x:row>
    <x:row r="70" ht="42" customHeight="1">
      <x:c r="A70" s="45"/>
      <x:c r="B70" s="45"/>
      <x:c r="C70" s="45"/>
      <x:c r="D70" s="48"/>
      <x:c r="E70" s="48"/>
      <x:c r="F70" s="48"/>
      <x:c r="G70" s="48"/>
      <x:c r="H70" s="48"/>
      <x:c r="I70" s="51" t="str">
        <x:f>IF(H70="未出現",0,IF(H70="部分出現",1,IF(H70="穩定出現",2,"")))</x:f>
      </x:c>
      <x:c r="J70" s="48"/>
      <x:c r="K70" s="48"/>
      <x:c r="L70" s="48"/>
      <x:c r="M70" s="48"/>
      <x:c r="N70" s="48"/>
      <x:c r="O70" s="54"/>
    </x:row>
    <x:row r="71" ht="42" customHeight="1">
      <x:c r="A71" s="45"/>
      <x:c r="B71" s="45"/>
      <x:c r="C71" s="45"/>
      <x:c r="D71" s="48"/>
      <x:c r="E71" s="48"/>
      <x:c r="F71" s="48"/>
      <x:c r="G71" s="48"/>
      <x:c r="H71" s="48"/>
      <x:c r="I71" s="51" t="str">
        <x:f>IF(H71="未出現",0,IF(H71="部分出現",1,IF(H71="穩定出現",2,"")))</x:f>
      </x:c>
      <x:c r="J71" s="48"/>
      <x:c r="K71" s="48"/>
      <x:c r="L71" s="48"/>
      <x:c r="M71" s="48"/>
      <x:c r="N71" s="48"/>
      <x:c r="O71" s="54"/>
    </x:row>
    <x:row r="72" ht="42" customHeight="1">
      <x:c r="A72" s="45"/>
      <x:c r="B72" s="45"/>
      <x:c r="C72" s="45"/>
      <x:c r="D72" s="48"/>
      <x:c r="E72" s="48"/>
      <x:c r="F72" s="48"/>
      <x:c r="G72" s="48"/>
      <x:c r="H72" s="48"/>
      <x:c r="I72" s="51" t="str">
        <x:f>IF(H72="未出現",0,IF(H72="部分出現",1,IF(H72="穩定出現",2,"")))</x:f>
      </x:c>
      <x:c r="J72" s="48"/>
      <x:c r="K72" s="48"/>
      <x:c r="L72" s="48"/>
      <x:c r="M72" s="48"/>
      <x:c r="N72" s="48"/>
      <x:c r="O72" s="54"/>
    </x:row>
    <x:row r="73" ht="42" customHeight="1">
      <x:c r="A73" s="45"/>
      <x:c r="B73" s="45"/>
      <x:c r="C73" s="45"/>
      <x:c r="D73" s="48"/>
      <x:c r="E73" s="48"/>
      <x:c r="F73" s="48"/>
      <x:c r="G73" s="48"/>
      <x:c r="H73" s="48"/>
      <x:c r="I73" s="51" t="str">
        <x:f>IF(H73="未出現",0,IF(H73="部分出現",1,IF(H73="穩定出現",2,"")))</x:f>
      </x:c>
      <x:c r="J73" s="48"/>
      <x:c r="K73" s="48"/>
      <x:c r="L73" s="48"/>
      <x:c r="M73" s="48"/>
      <x:c r="N73" s="48"/>
      <x:c r="O73" s="54"/>
    </x:row>
    <x:row r="74" ht="42" customHeight="1">
      <x:c r="A74" s="45"/>
      <x:c r="B74" s="45"/>
      <x:c r="C74" s="45"/>
      <x:c r="D74" s="48"/>
      <x:c r="E74" s="48"/>
      <x:c r="F74" s="48"/>
      <x:c r="G74" s="48"/>
      <x:c r="H74" s="48"/>
      <x:c r="I74" s="51" t="str">
        <x:f>IF(H74="未出現",0,IF(H74="部分出現",1,IF(H74="穩定出現",2,"")))</x:f>
      </x:c>
      <x:c r="J74" s="48"/>
      <x:c r="K74" s="48"/>
      <x:c r="L74" s="48"/>
      <x:c r="M74" s="48"/>
      <x:c r="N74" s="48"/>
      <x:c r="O74" s="54"/>
    </x:row>
    <x:row r="75" ht="42" customHeight="1">
      <x:c r="A75" s="45"/>
      <x:c r="B75" s="45"/>
      <x:c r="C75" s="45"/>
      <x:c r="D75" s="48"/>
      <x:c r="E75" s="48"/>
      <x:c r="F75" s="48"/>
      <x:c r="G75" s="48"/>
      <x:c r="H75" s="48"/>
      <x:c r="I75" s="51" t="str">
        <x:f>IF(H75="未出現",0,IF(H75="部分出現",1,IF(H75="穩定出現",2,"")))</x:f>
      </x:c>
      <x:c r="J75" s="48"/>
      <x:c r="K75" s="48"/>
      <x:c r="L75" s="48"/>
      <x:c r="M75" s="48"/>
      <x:c r="N75" s="48"/>
      <x:c r="O75" s="54"/>
    </x:row>
    <x:row r="76" ht="42" customHeight="1">
      <x:c r="A76" s="45"/>
      <x:c r="B76" s="45"/>
      <x:c r="C76" s="45"/>
      <x:c r="D76" s="48"/>
      <x:c r="E76" s="48"/>
      <x:c r="F76" s="48"/>
      <x:c r="G76" s="48"/>
      <x:c r="H76" s="48"/>
      <x:c r="I76" s="51" t="str">
        <x:f>IF(H76="未出現",0,IF(H76="部分出現",1,IF(H76="穩定出現",2,"")))</x:f>
      </x:c>
      <x:c r="J76" s="48"/>
      <x:c r="K76" s="48"/>
      <x:c r="L76" s="48"/>
      <x:c r="M76" s="48"/>
      <x:c r="N76" s="48"/>
      <x:c r="O76" s="54"/>
    </x:row>
    <x:row r="77" ht="42" customHeight="1">
      <x:c r="A77" s="45"/>
      <x:c r="B77" s="45"/>
      <x:c r="C77" s="45"/>
      <x:c r="D77" s="48"/>
      <x:c r="E77" s="48"/>
      <x:c r="F77" s="48"/>
      <x:c r="G77" s="48"/>
      <x:c r="H77" s="48"/>
      <x:c r="I77" s="51" t="str">
        <x:f>IF(H77="未出現",0,IF(H77="部分出現",1,IF(H77="穩定出現",2,"")))</x:f>
      </x:c>
      <x:c r="J77" s="48"/>
      <x:c r="K77" s="48"/>
      <x:c r="L77" s="48"/>
      <x:c r="M77" s="48"/>
      <x:c r="N77" s="48"/>
      <x:c r="O77" s="54"/>
    </x:row>
    <x:row r="78" ht="42" customHeight="1">
      <x:c r="A78" s="45"/>
      <x:c r="B78" s="45"/>
      <x:c r="C78" s="45"/>
      <x:c r="D78" s="48"/>
      <x:c r="E78" s="48"/>
      <x:c r="F78" s="48"/>
      <x:c r="G78" s="48"/>
      <x:c r="H78" s="48"/>
      <x:c r="I78" s="51" t="str">
        <x:f>IF(H78="未出現",0,IF(H78="部分出現",1,IF(H78="穩定出現",2,"")))</x:f>
      </x:c>
      <x:c r="J78" s="48"/>
      <x:c r="K78" s="48"/>
      <x:c r="L78" s="48"/>
      <x:c r="M78" s="48"/>
      <x:c r="N78" s="48"/>
      <x:c r="O78" s="54"/>
    </x:row>
    <x:row r="79" ht="42" customHeight="1">
      <x:c r="A79" s="45"/>
      <x:c r="B79" s="45"/>
      <x:c r="C79" s="45"/>
      <x:c r="D79" s="48"/>
      <x:c r="E79" s="48"/>
      <x:c r="F79" s="48"/>
      <x:c r="G79" s="48"/>
      <x:c r="H79" s="48"/>
      <x:c r="I79" s="51" t="str">
        <x:f>IF(H79="未出現",0,IF(H79="部分出現",1,IF(H79="穩定出現",2,"")))</x:f>
      </x:c>
      <x:c r="J79" s="48"/>
      <x:c r="K79" s="48"/>
      <x:c r="L79" s="48"/>
      <x:c r="M79" s="48"/>
      <x:c r="N79" s="48"/>
      <x:c r="O79" s="54"/>
    </x:row>
    <x:row r="80" ht="42" customHeight="1">
      <x:c r="A80" s="45"/>
      <x:c r="B80" s="45"/>
      <x:c r="C80" s="45"/>
      <x:c r="D80" s="48"/>
      <x:c r="E80" s="48"/>
      <x:c r="F80" s="48"/>
      <x:c r="G80" s="48"/>
      <x:c r="H80" s="48"/>
      <x:c r="I80" s="51" t="str">
        <x:f>IF(H80="未出現",0,IF(H80="部分出現",1,IF(H80="穩定出現",2,"")))</x:f>
      </x:c>
      <x:c r="J80" s="48"/>
      <x:c r="K80" s="48"/>
      <x:c r="L80" s="48"/>
      <x:c r="M80" s="48"/>
      <x:c r="N80" s="48"/>
      <x:c r="O80" s="54"/>
    </x:row>
    <x:row r="81" ht="42" customHeight="1">
      <x:c r="A81" s="45"/>
      <x:c r="B81" s="45"/>
      <x:c r="C81" s="45"/>
      <x:c r="D81" s="48"/>
      <x:c r="E81" s="48"/>
      <x:c r="F81" s="48"/>
      <x:c r="G81" s="48"/>
      <x:c r="H81" s="48"/>
      <x:c r="I81" s="51" t="str">
        <x:f>IF(H81="未出現",0,IF(H81="部分出現",1,IF(H81="穩定出現",2,"")))</x:f>
      </x:c>
      <x:c r="J81" s="48"/>
      <x:c r="K81" s="48"/>
      <x:c r="L81" s="48"/>
      <x:c r="M81" s="48"/>
      <x:c r="N81" s="48"/>
      <x:c r="O81" s="54"/>
    </x:row>
    <x:row r="82" ht="42" customHeight="1">
      <x:c r="A82" s="45"/>
      <x:c r="B82" s="45"/>
      <x:c r="C82" s="45"/>
      <x:c r="D82" s="48"/>
      <x:c r="E82" s="48"/>
      <x:c r="F82" s="48"/>
      <x:c r="G82" s="48"/>
      <x:c r="H82" s="48"/>
      <x:c r="I82" s="51" t="str">
        <x:f>IF(H82="未出現",0,IF(H82="部分出現",1,IF(H82="穩定出現",2,"")))</x:f>
      </x:c>
      <x:c r="J82" s="48"/>
      <x:c r="K82" s="48"/>
      <x:c r="L82" s="48"/>
      <x:c r="M82" s="48"/>
      <x:c r="N82" s="48"/>
      <x:c r="O82" s="54"/>
    </x:row>
    <x:row r="83" ht="42" customHeight="1">
      <x:c r="A83" s="45"/>
      <x:c r="B83" s="45"/>
      <x:c r="C83" s="45"/>
      <x:c r="D83" s="48"/>
      <x:c r="E83" s="48"/>
      <x:c r="F83" s="48"/>
      <x:c r="G83" s="48"/>
      <x:c r="H83" s="48"/>
      <x:c r="I83" s="51" t="str">
        <x:f>IF(H83="未出現",0,IF(H83="部分出現",1,IF(H83="穩定出現",2,"")))</x:f>
      </x:c>
      <x:c r="J83" s="48"/>
      <x:c r="K83" s="48"/>
      <x:c r="L83" s="48"/>
      <x:c r="M83" s="48"/>
      <x:c r="N83" s="48"/>
      <x:c r="O83" s="54"/>
    </x:row>
    <x:row r="84" ht="42" customHeight="1">
      <x:c r="A84" s="45"/>
      <x:c r="B84" s="45"/>
      <x:c r="C84" s="45"/>
      <x:c r="D84" s="48"/>
      <x:c r="E84" s="48"/>
      <x:c r="F84" s="48"/>
      <x:c r="G84" s="48"/>
      <x:c r="H84" s="48"/>
      <x:c r="I84" s="51" t="str">
        <x:f>IF(H84="未出現",0,IF(H84="部分出現",1,IF(H84="穩定出現",2,"")))</x:f>
      </x:c>
      <x:c r="J84" s="48"/>
      <x:c r="K84" s="48"/>
      <x:c r="L84" s="48"/>
      <x:c r="M84" s="48"/>
      <x:c r="N84" s="48"/>
      <x:c r="O84" s="54"/>
    </x:row>
    <x:row r="85" ht="42" customHeight="1">
      <x:c r="A85" s="45"/>
      <x:c r="B85" s="45"/>
      <x:c r="C85" s="45"/>
      <x:c r="D85" s="48"/>
      <x:c r="E85" s="48"/>
      <x:c r="F85" s="48"/>
      <x:c r="G85" s="48"/>
      <x:c r="H85" s="48"/>
      <x:c r="I85" s="51" t="str">
        <x:f>IF(H85="未出現",0,IF(H85="部分出現",1,IF(H85="穩定出現",2,"")))</x:f>
      </x:c>
      <x:c r="J85" s="48"/>
      <x:c r="K85" s="48"/>
      <x:c r="L85" s="48"/>
      <x:c r="M85" s="48"/>
      <x:c r="N85" s="48"/>
      <x:c r="O85" s="54"/>
    </x:row>
    <x:row r="86" ht="42" customHeight="1">
      <x:c r="A86" s="45"/>
      <x:c r="B86" s="45"/>
      <x:c r="C86" s="45"/>
      <x:c r="D86" s="48"/>
      <x:c r="E86" s="48"/>
      <x:c r="F86" s="48"/>
      <x:c r="G86" s="48"/>
      <x:c r="H86" s="48"/>
      <x:c r="I86" s="51" t="str">
        <x:f>IF(H86="未出現",0,IF(H86="部分出現",1,IF(H86="穩定出現",2,"")))</x:f>
      </x:c>
      <x:c r="J86" s="48"/>
      <x:c r="K86" s="48"/>
      <x:c r="L86" s="48"/>
      <x:c r="M86" s="48"/>
      <x:c r="N86" s="48"/>
      <x:c r="O86" s="54"/>
    </x:row>
    <x:row r="87" ht="42" customHeight="1">
      <x:c r="A87" s="45"/>
      <x:c r="B87" s="45"/>
      <x:c r="C87" s="45"/>
      <x:c r="D87" s="48"/>
      <x:c r="E87" s="48"/>
      <x:c r="F87" s="48"/>
      <x:c r="G87" s="48"/>
      <x:c r="H87" s="48"/>
      <x:c r="I87" s="51" t="str">
        <x:f>IF(H87="未出現",0,IF(H87="部分出現",1,IF(H87="穩定出現",2,"")))</x:f>
      </x:c>
      <x:c r="J87" s="48"/>
      <x:c r="K87" s="48"/>
      <x:c r="L87" s="48"/>
      <x:c r="M87" s="48"/>
      <x:c r="N87" s="48"/>
      <x:c r="O87" s="54"/>
    </x:row>
    <x:row r="88" ht="42" customHeight="1">
      <x:c r="A88" s="45"/>
      <x:c r="B88" s="45"/>
      <x:c r="C88" s="45"/>
      <x:c r="D88" s="48"/>
      <x:c r="E88" s="48"/>
      <x:c r="F88" s="48"/>
      <x:c r="G88" s="48"/>
      <x:c r="H88" s="48"/>
      <x:c r="I88" s="51" t="str">
        <x:f>IF(H88="未出現",0,IF(H88="部分出現",1,IF(H88="穩定出現",2,"")))</x:f>
      </x:c>
      <x:c r="J88" s="48"/>
      <x:c r="K88" s="48"/>
      <x:c r="L88" s="48"/>
      <x:c r="M88" s="48"/>
      <x:c r="N88" s="48"/>
      <x:c r="O88" s="54"/>
    </x:row>
    <x:row r="89" ht="42" customHeight="1">
      <x:c r="A89" s="45"/>
      <x:c r="B89" s="45"/>
      <x:c r="C89" s="45"/>
      <x:c r="D89" s="48"/>
      <x:c r="E89" s="48"/>
      <x:c r="F89" s="48"/>
      <x:c r="G89" s="48"/>
      <x:c r="H89" s="48"/>
      <x:c r="I89" s="51" t="str">
        <x:f>IF(H89="未出現",0,IF(H89="部分出現",1,IF(H89="穩定出現",2,"")))</x:f>
      </x:c>
      <x:c r="J89" s="48"/>
      <x:c r="K89" s="48"/>
      <x:c r="L89" s="48"/>
      <x:c r="M89" s="48"/>
      <x:c r="N89" s="48"/>
      <x:c r="O89" s="54"/>
    </x:row>
    <x:row r="90" ht="42" customHeight="1">
      <x:c r="A90" s="45"/>
      <x:c r="B90" s="45"/>
      <x:c r="C90" s="45"/>
      <x:c r="D90" s="48"/>
      <x:c r="E90" s="48"/>
      <x:c r="F90" s="48"/>
      <x:c r="G90" s="48"/>
      <x:c r="H90" s="48"/>
      <x:c r="I90" s="51" t="str">
        <x:f>IF(H90="未出現",0,IF(H90="部分出現",1,IF(H90="穩定出現",2,"")))</x:f>
      </x:c>
      <x:c r="J90" s="48"/>
      <x:c r="K90" s="48"/>
      <x:c r="L90" s="48"/>
      <x:c r="M90" s="48"/>
      <x:c r="N90" s="48"/>
      <x:c r="O90" s="54"/>
    </x:row>
    <x:row r="91" ht="42" customHeight="1">
      <x:c r="A91" s="45"/>
      <x:c r="B91" s="45"/>
      <x:c r="C91" s="45"/>
      <x:c r="D91" s="48"/>
      <x:c r="E91" s="48"/>
      <x:c r="F91" s="48"/>
      <x:c r="G91" s="48"/>
      <x:c r="H91" s="48"/>
      <x:c r="I91" s="51" t="str">
        <x:f>IF(H91="未出現",0,IF(H91="部分出現",1,IF(H91="穩定出現",2,"")))</x:f>
      </x:c>
      <x:c r="J91" s="48"/>
      <x:c r="K91" s="48"/>
      <x:c r="L91" s="48"/>
      <x:c r="M91" s="48"/>
      <x:c r="N91" s="48"/>
      <x:c r="O91" s="54"/>
    </x:row>
    <x:row r="92" ht="42" customHeight="1">
      <x:c r="A92" s="45"/>
      <x:c r="B92" s="45"/>
      <x:c r="C92" s="45"/>
      <x:c r="D92" s="48"/>
      <x:c r="E92" s="48"/>
      <x:c r="F92" s="48"/>
      <x:c r="G92" s="48"/>
      <x:c r="H92" s="48"/>
      <x:c r="I92" s="51" t="str">
        <x:f>IF(H92="未出現",0,IF(H92="部分出現",1,IF(H92="穩定出現",2,"")))</x:f>
      </x:c>
      <x:c r="J92" s="48"/>
      <x:c r="K92" s="48"/>
      <x:c r="L92" s="48"/>
      <x:c r="M92" s="48"/>
      <x:c r="N92" s="48"/>
      <x:c r="O92" s="54"/>
    </x:row>
    <x:row r="93" ht="42" customHeight="1">
      <x:c r="A93" s="45"/>
      <x:c r="B93" s="45"/>
      <x:c r="C93" s="45"/>
      <x:c r="D93" s="48"/>
      <x:c r="E93" s="48"/>
      <x:c r="F93" s="48"/>
      <x:c r="G93" s="48"/>
      <x:c r="H93" s="48"/>
      <x:c r="I93" s="51" t="str">
        <x:f>IF(H93="未出現",0,IF(H93="部分出現",1,IF(H93="穩定出現",2,"")))</x:f>
      </x:c>
      <x:c r="J93" s="48"/>
      <x:c r="K93" s="48"/>
      <x:c r="L93" s="48"/>
      <x:c r="M93" s="48"/>
      <x:c r="N93" s="48"/>
      <x:c r="O93" s="54"/>
    </x:row>
    <x:row r="94" ht="42" customHeight="1">
      <x:c r="A94" s="45"/>
      <x:c r="B94" s="45"/>
      <x:c r="C94" s="45"/>
      <x:c r="D94" s="48"/>
      <x:c r="E94" s="48"/>
      <x:c r="F94" s="48"/>
      <x:c r="G94" s="48"/>
      <x:c r="H94" s="48"/>
      <x:c r="I94" s="51" t="str">
        <x:f>IF(H94="未出現",0,IF(H94="部分出現",1,IF(H94="穩定出現",2,"")))</x:f>
      </x:c>
      <x:c r="J94" s="48"/>
      <x:c r="K94" s="48"/>
      <x:c r="L94" s="48"/>
      <x:c r="M94" s="48"/>
      <x:c r="N94" s="48"/>
      <x:c r="O94" s="54"/>
    </x:row>
    <x:row r="95" ht="42" customHeight="1">
      <x:c r="A95" s="45"/>
      <x:c r="B95" s="45"/>
      <x:c r="C95" s="45"/>
      <x:c r="D95" s="48"/>
      <x:c r="E95" s="48"/>
      <x:c r="F95" s="48"/>
      <x:c r="G95" s="48"/>
      <x:c r="H95" s="48"/>
      <x:c r="I95" s="51" t="str">
        <x:f>IF(H95="未出現",0,IF(H95="部分出現",1,IF(H95="穩定出現",2,"")))</x:f>
      </x:c>
      <x:c r="J95" s="48"/>
      <x:c r="K95" s="48"/>
      <x:c r="L95" s="48"/>
      <x:c r="M95" s="48"/>
      <x:c r="N95" s="48"/>
      <x:c r="O95" s="54"/>
    </x:row>
    <x:row r="96" ht="42" customHeight="1">
      <x:c r="A96" s="45"/>
      <x:c r="B96" s="45"/>
      <x:c r="C96" s="45"/>
      <x:c r="D96" s="48"/>
      <x:c r="E96" s="48"/>
      <x:c r="F96" s="48"/>
      <x:c r="G96" s="48"/>
      <x:c r="H96" s="48"/>
      <x:c r="I96" s="51" t="str">
        <x:f>IF(H96="未出現",0,IF(H96="部分出現",1,IF(H96="穩定出現",2,"")))</x:f>
      </x:c>
      <x:c r="J96" s="48"/>
      <x:c r="K96" s="48"/>
      <x:c r="L96" s="48"/>
      <x:c r="M96" s="48"/>
      <x:c r="N96" s="48"/>
      <x:c r="O96" s="54"/>
    </x:row>
    <x:row r="97" ht="42" customHeight="1">
      <x:c r="A97" s="45"/>
      <x:c r="B97" s="45"/>
      <x:c r="C97" s="45"/>
      <x:c r="D97" s="48"/>
      <x:c r="E97" s="48"/>
      <x:c r="F97" s="48"/>
      <x:c r="G97" s="48"/>
      <x:c r="H97" s="48"/>
      <x:c r="I97" s="51" t="str">
        <x:f>IF(H97="未出現",0,IF(H97="部分出現",1,IF(H97="穩定出現",2,"")))</x:f>
      </x:c>
      <x:c r="J97" s="48"/>
      <x:c r="K97" s="48"/>
      <x:c r="L97" s="48"/>
      <x:c r="M97" s="48"/>
      <x:c r="N97" s="48"/>
      <x:c r="O97" s="54"/>
    </x:row>
    <x:row r="98" ht="42" customHeight="1">
      <x:c r="A98" s="45"/>
      <x:c r="B98" s="45"/>
      <x:c r="C98" s="45"/>
      <x:c r="D98" s="48"/>
      <x:c r="E98" s="48"/>
      <x:c r="F98" s="48"/>
      <x:c r="G98" s="48"/>
      <x:c r="H98" s="48"/>
      <x:c r="I98" s="51" t="str">
        <x:f>IF(H98="未出現",0,IF(H98="部分出現",1,IF(H98="穩定出現",2,"")))</x:f>
      </x:c>
      <x:c r="J98" s="48"/>
      <x:c r="K98" s="48"/>
      <x:c r="L98" s="48"/>
      <x:c r="M98" s="48"/>
      <x:c r="N98" s="48"/>
      <x:c r="O98" s="54"/>
    </x:row>
    <x:row r="99" ht="42" customHeight="1">
      <x:c r="A99" s="45"/>
      <x:c r="B99" s="45"/>
      <x:c r="C99" s="45"/>
      <x:c r="D99" s="48"/>
      <x:c r="E99" s="48"/>
      <x:c r="F99" s="48"/>
      <x:c r="G99" s="48"/>
      <x:c r="H99" s="48"/>
      <x:c r="I99" s="51" t="str">
        <x:f>IF(H99="未出現",0,IF(H99="部分出現",1,IF(H99="穩定出現",2,"")))</x:f>
      </x:c>
      <x:c r="J99" s="48"/>
      <x:c r="K99" s="48"/>
      <x:c r="L99" s="48"/>
      <x:c r="M99" s="48"/>
      <x:c r="N99" s="48"/>
      <x:c r="O99" s="54"/>
    </x:row>
    <x:row r="100" ht="42" customHeight="1">
      <x:c r="A100" s="45"/>
      <x:c r="B100" s="45"/>
      <x:c r="C100" s="45"/>
      <x:c r="D100" s="48"/>
      <x:c r="E100" s="48"/>
      <x:c r="F100" s="48"/>
      <x:c r="G100" s="48"/>
      <x:c r="H100" s="48"/>
      <x:c r="I100" s="51" t="str">
        <x:f>IF(H100="未出現",0,IF(H100="部分出現",1,IF(H100="穩定出現",2,"")))</x:f>
      </x:c>
      <x:c r="J100" s="48"/>
      <x:c r="K100" s="48"/>
      <x:c r="L100" s="48"/>
      <x:c r="M100" s="48"/>
      <x:c r="N100" s="48"/>
      <x:c r="O100" s="54"/>
    </x:row>
    <x:row r="101" ht="42" customHeight="1">
      <x:c r="A101" s="45"/>
      <x:c r="B101" s="45"/>
      <x:c r="C101" s="45"/>
      <x:c r="D101" s="48"/>
      <x:c r="E101" s="48"/>
      <x:c r="F101" s="48"/>
      <x:c r="G101" s="48"/>
      <x:c r="H101" s="48"/>
      <x:c r="I101" s="51" t="str">
        <x:f>IF(H101="未出現",0,IF(H101="部分出現",1,IF(H101="穩定出現",2,"")))</x:f>
      </x:c>
      <x:c r="J101" s="48"/>
      <x:c r="K101" s="48"/>
      <x:c r="L101" s="48"/>
      <x:c r="M101" s="48"/>
      <x:c r="N101" s="48"/>
      <x:c r="O101" s="54"/>
    </x:row>
    <x:row r="102" ht="42" customHeight="1">
      <x:c r="A102" s="45"/>
      <x:c r="B102" s="45"/>
      <x:c r="C102" s="45"/>
      <x:c r="D102" s="48"/>
      <x:c r="E102" s="48"/>
      <x:c r="F102" s="48"/>
      <x:c r="G102" s="48"/>
      <x:c r="H102" s="48"/>
      <x:c r="I102" s="51" t="str">
        <x:f>IF(H102="未出現",0,IF(H102="部分出現",1,IF(H102="穩定出現",2,"")))</x:f>
      </x:c>
      <x:c r="J102" s="48"/>
      <x:c r="K102" s="48"/>
      <x:c r="L102" s="48"/>
      <x:c r="M102" s="48"/>
      <x:c r="N102" s="48"/>
      <x:c r="O102" s="54"/>
    </x:row>
    <x:row r="103" ht="42" customHeight="1">
      <x:c r="A103" s="45"/>
      <x:c r="B103" s="45"/>
      <x:c r="C103" s="45"/>
      <x:c r="D103" s="48"/>
      <x:c r="E103" s="48"/>
      <x:c r="F103" s="48"/>
      <x:c r="G103" s="48"/>
      <x:c r="H103" s="48"/>
      <x:c r="I103" s="51" t="str">
        <x:f>IF(H103="未出現",0,IF(H103="部分出現",1,IF(H103="穩定出現",2,"")))</x:f>
      </x:c>
      <x:c r="J103" s="48"/>
      <x:c r="K103" s="48"/>
      <x:c r="L103" s="48"/>
      <x:c r="M103" s="48"/>
      <x:c r="N103" s="48"/>
      <x:c r="O103" s="54"/>
    </x:row>
    <x:row r="104" ht="42" customHeight="1">
      <x:c r="A104" s="45"/>
      <x:c r="B104" s="45"/>
      <x:c r="C104" s="45"/>
      <x:c r="D104" s="48"/>
      <x:c r="E104" s="48"/>
      <x:c r="F104" s="48"/>
      <x:c r="G104" s="48"/>
      <x:c r="H104" s="48"/>
      <x:c r="I104" s="51" t="str">
        <x:f>IF(H104="未出現",0,IF(H104="部分出現",1,IF(H104="穩定出現",2,"")))</x:f>
      </x:c>
      <x:c r="J104" s="48"/>
      <x:c r="K104" s="48"/>
      <x:c r="L104" s="48"/>
      <x:c r="M104" s="48"/>
      <x:c r="N104" s="48"/>
      <x:c r="O104" s="54"/>
    </x:row>
    <x:row r="105" ht="42" customHeight="1">
      <x:c r="A105" s="45"/>
      <x:c r="B105" s="45"/>
      <x:c r="C105" s="45"/>
      <x:c r="D105" s="48"/>
      <x:c r="E105" s="48"/>
      <x:c r="F105" s="48"/>
      <x:c r="G105" s="48"/>
      <x:c r="H105" s="48"/>
      <x:c r="I105" s="51" t="str">
        <x:f>IF(H105="未出現",0,IF(H105="部分出現",1,IF(H105="穩定出現",2,"")))</x:f>
      </x:c>
      <x:c r="J105" s="48"/>
      <x:c r="K105" s="48"/>
      <x:c r="L105" s="48"/>
      <x:c r="M105" s="48"/>
      <x:c r="N105" s="48"/>
      <x:c r="O105" s="54"/>
    </x:row>
    <x:row r="106" ht="42" customHeight="1">
      <x:c r="A106" s="45"/>
      <x:c r="B106" s="45"/>
      <x:c r="C106" s="45"/>
      <x:c r="D106" s="48"/>
      <x:c r="E106" s="48"/>
      <x:c r="F106" s="48"/>
      <x:c r="G106" s="48"/>
      <x:c r="H106" s="48"/>
      <x:c r="I106" s="51" t="str">
        <x:f>IF(H106="未出現",0,IF(H106="部分出現",1,IF(H106="穩定出現",2,"")))</x:f>
      </x:c>
      <x:c r="J106" s="48"/>
      <x:c r="K106" s="48"/>
      <x:c r="L106" s="48"/>
      <x:c r="M106" s="48"/>
      <x:c r="N106" s="48"/>
      <x:c r="O106" s="54"/>
    </x:row>
    <x:row r="107" ht="42" customHeight="1">
      <x:c r="A107" s="45"/>
      <x:c r="B107" s="45"/>
      <x:c r="C107" s="45"/>
      <x:c r="D107" s="48"/>
      <x:c r="E107" s="48"/>
      <x:c r="F107" s="48"/>
      <x:c r="G107" s="48"/>
      <x:c r="H107" s="48"/>
      <x:c r="I107" s="51" t="str">
        <x:f>IF(H107="未出現",0,IF(H107="部分出現",1,IF(H107="穩定出現",2,"")))</x:f>
      </x:c>
      <x:c r="J107" s="48"/>
      <x:c r="K107" s="48"/>
      <x:c r="L107" s="48"/>
      <x:c r="M107" s="48"/>
      <x:c r="N107" s="48"/>
      <x:c r="O107" s="54"/>
    </x:row>
    <x:row r="108" ht="42" customHeight="1">
      <x:c r="A108" s="45"/>
      <x:c r="B108" s="45"/>
      <x:c r="C108" s="45"/>
      <x:c r="D108" s="48"/>
      <x:c r="E108" s="48"/>
      <x:c r="F108" s="48"/>
      <x:c r="G108" s="48"/>
      <x:c r="H108" s="48"/>
      <x:c r="I108" s="51" t="str">
        <x:f>IF(H108="未出現",0,IF(H108="部分出現",1,IF(H108="穩定出現",2,"")))</x:f>
      </x:c>
      <x:c r="J108" s="48"/>
      <x:c r="K108" s="48"/>
      <x:c r="L108" s="48"/>
      <x:c r="M108" s="48"/>
      <x:c r="N108" s="48"/>
      <x:c r="O108" s="54"/>
    </x:row>
    <x:row r="109" ht="42" customHeight="1">
      <x:c r="A109" s="45"/>
      <x:c r="B109" s="45"/>
      <x:c r="C109" s="45"/>
      <x:c r="D109" s="48"/>
      <x:c r="E109" s="48"/>
      <x:c r="F109" s="48"/>
      <x:c r="G109" s="48"/>
      <x:c r="H109" s="48"/>
      <x:c r="I109" s="51" t="str">
        <x:f>IF(H109="未出現",0,IF(H109="部分出現",1,IF(H109="穩定出現",2,"")))</x:f>
      </x:c>
      <x:c r="J109" s="48"/>
      <x:c r="K109" s="48"/>
      <x:c r="L109" s="48"/>
      <x:c r="M109" s="48"/>
      <x:c r="N109" s="48"/>
      <x:c r="O109" s="54"/>
    </x:row>
    <x:row r="110" ht="42" customHeight="1">
      <x:c r="A110" s="45"/>
      <x:c r="B110" s="45"/>
      <x:c r="C110" s="45"/>
      <x:c r="D110" s="48"/>
      <x:c r="E110" s="48"/>
      <x:c r="F110" s="48"/>
      <x:c r="G110" s="48"/>
      <x:c r="H110" s="48"/>
      <x:c r="I110" s="51" t="str">
        <x:f>IF(H110="未出現",0,IF(H110="部分出現",1,IF(H110="穩定出現",2,"")))</x:f>
      </x:c>
      <x:c r="J110" s="48"/>
      <x:c r="K110" s="48"/>
      <x:c r="L110" s="48"/>
      <x:c r="M110" s="48"/>
      <x:c r="N110" s="48"/>
      <x:c r="O110" s="54"/>
    </x:row>
    <x:row r="111" ht="42" customHeight="1">
      <x:c r="A111" s="45"/>
      <x:c r="B111" s="45"/>
      <x:c r="C111" s="45"/>
      <x:c r="D111" s="48"/>
      <x:c r="E111" s="48"/>
      <x:c r="F111" s="48"/>
      <x:c r="G111" s="48"/>
      <x:c r="H111" s="48"/>
      <x:c r="I111" s="51" t="str">
        <x:f>IF(H111="未出現",0,IF(H111="部分出現",1,IF(H111="穩定出現",2,"")))</x:f>
      </x:c>
      <x:c r="J111" s="48"/>
      <x:c r="K111" s="48"/>
      <x:c r="L111" s="48"/>
      <x:c r="M111" s="48"/>
      <x:c r="N111" s="48"/>
      <x:c r="O111" s="54"/>
    </x:row>
    <x:row r="112" ht="42" customHeight="1">
      <x:c r="A112" s="45"/>
      <x:c r="B112" s="45"/>
      <x:c r="C112" s="45"/>
      <x:c r="D112" s="48"/>
      <x:c r="E112" s="48"/>
      <x:c r="F112" s="48"/>
      <x:c r="G112" s="48"/>
      <x:c r="H112" s="48"/>
      <x:c r="I112" s="51" t="str">
        <x:f>IF(H112="未出現",0,IF(H112="部分出現",1,IF(H112="穩定出現",2,"")))</x:f>
      </x:c>
      <x:c r="J112" s="48"/>
      <x:c r="K112" s="48"/>
      <x:c r="L112" s="48"/>
      <x:c r="M112" s="48"/>
      <x:c r="N112" s="48"/>
      <x:c r="O112" s="54"/>
    </x:row>
    <x:row r="113" ht="42" customHeight="1">
      <x:c r="A113" s="45"/>
      <x:c r="B113" s="45"/>
      <x:c r="C113" s="45"/>
      <x:c r="D113" s="48"/>
      <x:c r="E113" s="48"/>
      <x:c r="F113" s="48"/>
      <x:c r="G113" s="48"/>
      <x:c r="H113" s="48"/>
      <x:c r="I113" s="51" t="str">
        <x:f>IF(H113="未出現",0,IF(H113="部分出現",1,IF(H113="穩定出現",2,"")))</x:f>
      </x:c>
      <x:c r="J113" s="48"/>
      <x:c r="K113" s="48"/>
      <x:c r="L113" s="48"/>
      <x:c r="M113" s="48"/>
      <x:c r="N113" s="48"/>
      <x:c r="O113" s="54"/>
    </x:row>
    <x:row r="114" ht="42" customHeight="1">
      <x:c r="A114" s="45"/>
      <x:c r="B114" s="45"/>
      <x:c r="C114" s="45"/>
      <x:c r="D114" s="48"/>
      <x:c r="E114" s="48"/>
      <x:c r="F114" s="48"/>
      <x:c r="G114" s="48"/>
      <x:c r="H114" s="48"/>
      <x:c r="I114" s="51" t="str">
        <x:f>IF(H114="未出現",0,IF(H114="部分出現",1,IF(H114="穩定出現",2,"")))</x:f>
      </x:c>
      <x:c r="J114" s="48"/>
      <x:c r="K114" s="48"/>
      <x:c r="L114" s="48"/>
      <x:c r="M114" s="48"/>
      <x:c r="N114" s="48"/>
      <x:c r="O114" s="54"/>
    </x:row>
    <x:row r="115" ht="42" customHeight="1">
      <x:c r="A115" s="45"/>
      <x:c r="B115" s="45"/>
      <x:c r="C115" s="45"/>
      <x:c r="D115" s="48"/>
      <x:c r="E115" s="48"/>
      <x:c r="F115" s="48"/>
      <x:c r="G115" s="48"/>
      <x:c r="H115" s="48"/>
      <x:c r="I115" s="51" t="str">
        <x:f>IF(H115="未出現",0,IF(H115="部分出現",1,IF(H115="穩定出現",2,"")))</x:f>
      </x:c>
      <x:c r="J115" s="48"/>
      <x:c r="K115" s="48"/>
      <x:c r="L115" s="48"/>
      <x:c r="M115" s="48"/>
      <x:c r="N115" s="48"/>
      <x:c r="O115" s="54"/>
    </x:row>
    <x:row r="116" ht="42" customHeight="1">
      <x:c r="A116" s="45"/>
      <x:c r="B116" s="45"/>
      <x:c r="C116" s="45"/>
      <x:c r="D116" s="48"/>
      <x:c r="E116" s="48"/>
      <x:c r="F116" s="48"/>
      <x:c r="G116" s="48"/>
      <x:c r="H116" s="48"/>
      <x:c r="I116" s="51" t="str">
        <x:f>IF(H116="未出現",0,IF(H116="部分出現",1,IF(H116="穩定出現",2,"")))</x:f>
      </x:c>
      <x:c r="J116" s="48"/>
      <x:c r="K116" s="48"/>
      <x:c r="L116" s="48"/>
      <x:c r="M116" s="48"/>
      <x:c r="N116" s="48"/>
      <x:c r="O116" s="54"/>
    </x:row>
    <x:row r="117" ht="42" customHeight="1">
      <x:c r="A117" s="45"/>
      <x:c r="B117" s="45"/>
      <x:c r="C117" s="45"/>
      <x:c r="D117" s="48"/>
      <x:c r="E117" s="48"/>
      <x:c r="F117" s="48"/>
      <x:c r="G117" s="48"/>
      <x:c r="H117" s="48"/>
      <x:c r="I117" s="51" t="str">
        <x:f>IF(H117="未出現",0,IF(H117="部分出現",1,IF(H117="穩定出現",2,"")))</x:f>
      </x:c>
      <x:c r="J117" s="48"/>
      <x:c r="K117" s="48"/>
      <x:c r="L117" s="48"/>
      <x:c r="M117" s="48"/>
      <x:c r="N117" s="48"/>
      <x:c r="O117" s="54"/>
    </x:row>
    <x:row r="118" ht="42" customHeight="1">
      <x:c r="A118" s="45"/>
      <x:c r="B118" s="45"/>
      <x:c r="C118" s="45"/>
      <x:c r="D118" s="48"/>
      <x:c r="E118" s="48"/>
      <x:c r="F118" s="48"/>
      <x:c r="G118" s="48"/>
      <x:c r="H118" s="48"/>
      <x:c r="I118" s="51" t="str">
        <x:f>IF(H118="未出現",0,IF(H118="部分出現",1,IF(H118="穩定出現",2,"")))</x:f>
      </x:c>
      <x:c r="J118" s="48"/>
      <x:c r="K118" s="48"/>
      <x:c r="L118" s="48"/>
      <x:c r="M118" s="48"/>
      <x:c r="N118" s="48"/>
      <x:c r="O118" s="54"/>
    </x:row>
    <x:row r="119" ht="42" customHeight="1">
      <x:c r="A119" s="45"/>
      <x:c r="B119" s="45"/>
      <x:c r="C119" s="45"/>
      <x:c r="D119" s="48"/>
      <x:c r="E119" s="48"/>
      <x:c r="F119" s="48"/>
      <x:c r="G119" s="48"/>
      <x:c r="H119" s="48"/>
      <x:c r="I119" s="51" t="str">
        <x:f>IF(H119="未出現",0,IF(H119="部分出現",1,IF(H119="穩定出現",2,"")))</x:f>
      </x:c>
      <x:c r="J119" s="48"/>
      <x:c r="K119" s="48"/>
      <x:c r="L119" s="48"/>
      <x:c r="M119" s="48"/>
      <x:c r="N119" s="48"/>
      <x:c r="O119" s="54"/>
    </x:row>
    <x:row r="120" ht="42" customHeight="1">
      <x:c r="A120" s="45"/>
      <x:c r="B120" s="45"/>
      <x:c r="C120" s="45"/>
      <x:c r="D120" s="48"/>
      <x:c r="E120" s="48"/>
      <x:c r="F120" s="48"/>
      <x:c r="G120" s="48"/>
      <x:c r="H120" s="48"/>
      <x:c r="I120" s="51" t="str">
        <x:f>IF(H120="未出現",0,IF(H120="部分出現",1,IF(H120="穩定出現",2,"")))</x:f>
      </x:c>
      <x:c r="J120" s="48"/>
      <x:c r="K120" s="48"/>
      <x:c r="L120" s="48"/>
      <x:c r="M120" s="48"/>
      <x:c r="N120" s="48"/>
      <x:c r="O120" s="54"/>
    </x:row>
    <x:row r="121" ht="42" customHeight="1">
      <x:c r="A121" s="45"/>
      <x:c r="B121" s="45"/>
      <x:c r="C121" s="45"/>
      <x:c r="D121" s="48"/>
      <x:c r="E121" s="48"/>
      <x:c r="F121" s="48"/>
      <x:c r="G121" s="48"/>
      <x:c r="H121" s="48"/>
      <x:c r="I121" s="51" t="str">
        <x:f>IF(H121="未出現",0,IF(H121="部分出現",1,IF(H121="穩定出現",2,"")))</x:f>
      </x:c>
      <x:c r="J121" s="48"/>
      <x:c r="K121" s="48"/>
      <x:c r="L121" s="48"/>
      <x:c r="M121" s="48"/>
      <x:c r="N121" s="48"/>
      <x:c r="O121" s="54"/>
    </x:row>
    <x:row r="122" ht="42" customHeight="1">
      <x:c r="A122" s="45"/>
      <x:c r="B122" s="45"/>
      <x:c r="C122" s="45"/>
      <x:c r="D122" s="48"/>
      <x:c r="E122" s="48"/>
      <x:c r="F122" s="48"/>
      <x:c r="G122" s="48"/>
      <x:c r="H122" s="48"/>
      <x:c r="I122" s="51" t="str">
        <x:f>IF(H122="未出現",0,IF(H122="部分出現",1,IF(H122="穩定出現",2,"")))</x:f>
      </x:c>
      <x:c r="J122" s="48"/>
      <x:c r="K122" s="48"/>
      <x:c r="L122" s="48"/>
      <x:c r="M122" s="48"/>
      <x:c r="N122" s="48"/>
      <x:c r="O122" s="54"/>
    </x:row>
    <x:row r="123" ht="42" customHeight="1">
      <x:c r="A123" s="45"/>
      <x:c r="B123" s="45"/>
      <x:c r="C123" s="45"/>
      <x:c r="D123" s="48"/>
      <x:c r="E123" s="48"/>
      <x:c r="F123" s="48"/>
      <x:c r="G123" s="48"/>
      <x:c r="H123" s="48"/>
      <x:c r="I123" s="51" t="str">
        <x:f>IF(H123="未出現",0,IF(H123="部分出現",1,IF(H123="穩定出現",2,"")))</x:f>
      </x:c>
      <x:c r="J123" s="48"/>
      <x:c r="K123" s="48"/>
      <x:c r="L123" s="48"/>
      <x:c r="M123" s="48"/>
      <x:c r="N123" s="48"/>
      <x:c r="O123" s="54"/>
    </x:row>
    <x:row r="124" ht="42" customHeight="1">
      <x:c r="A124" s="45"/>
      <x:c r="B124" s="45"/>
      <x:c r="C124" s="45"/>
      <x:c r="D124" s="48"/>
      <x:c r="E124" s="48"/>
      <x:c r="F124" s="48"/>
      <x:c r="G124" s="48"/>
      <x:c r="H124" s="48"/>
      <x:c r="I124" s="51" t="str">
        <x:f>IF(H124="未出現",0,IF(H124="部分出現",1,IF(H124="穩定出現",2,"")))</x:f>
      </x:c>
      <x:c r="J124" s="48"/>
      <x:c r="K124" s="48"/>
      <x:c r="L124" s="48"/>
      <x:c r="M124" s="48"/>
      <x:c r="N124" s="48"/>
      <x:c r="O124" s="54"/>
    </x:row>
    <x:row r="125" ht="42" customHeight="1">
      <x:c r="A125" s="45"/>
      <x:c r="B125" s="45"/>
      <x:c r="C125" s="45"/>
      <x:c r="D125" s="48"/>
      <x:c r="E125" s="48"/>
      <x:c r="F125" s="48"/>
      <x:c r="G125" s="48"/>
      <x:c r="H125" s="48"/>
      <x:c r="I125" s="51" t="str">
        <x:f>IF(H125="未出現",0,IF(H125="部分出現",1,IF(H125="穩定出現",2,"")))</x:f>
      </x:c>
      <x:c r="J125" s="48"/>
      <x:c r="K125" s="48"/>
      <x:c r="L125" s="48"/>
      <x:c r="M125" s="48"/>
      <x:c r="N125" s="48"/>
      <x:c r="O125" s="54"/>
    </x:row>
    <x:row r="126" ht="42" customHeight="1">
      <x:c r="A126" s="45"/>
      <x:c r="B126" s="45"/>
      <x:c r="C126" s="45"/>
      <x:c r="D126" s="48"/>
      <x:c r="E126" s="48"/>
      <x:c r="F126" s="48"/>
      <x:c r="G126" s="48"/>
      <x:c r="H126" s="48"/>
      <x:c r="I126" s="51" t="str">
        <x:f>IF(H126="未出現",0,IF(H126="部分出現",1,IF(H126="穩定出現",2,"")))</x:f>
      </x:c>
      <x:c r="J126" s="48"/>
      <x:c r="K126" s="48"/>
      <x:c r="L126" s="48"/>
      <x:c r="M126" s="48"/>
      <x:c r="N126" s="48"/>
      <x:c r="O126" s="54"/>
    </x:row>
    <x:row r="127" ht="42" customHeight="1">
      <x:c r="A127" s="45"/>
      <x:c r="B127" s="45"/>
      <x:c r="C127" s="45"/>
      <x:c r="D127" s="48"/>
      <x:c r="E127" s="48"/>
      <x:c r="F127" s="48"/>
      <x:c r="G127" s="48"/>
      <x:c r="H127" s="48"/>
      <x:c r="I127" s="51" t="str">
        <x:f>IF(H127="未出現",0,IF(H127="部分出現",1,IF(H127="穩定出現",2,"")))</x:f>
      </x:c>
      <x:c r="J127" s="48"/>
      <x:c r="K127" s="48"/>
      <x:c r="L127" s="48"/>
      <x:c r="M127" s="48"/>
      <x:c r="N127" s="48"/>
      <x:c r="O127" s="54"/>
    </x:row>
    <x:row r="128" ht="42" customHeight="1">
      <x:c r="A128" s="45"/>
      <x:c r="B128" s="45"/>
      <x:c r="C128" s="45"/>
      <x:c r="D128" s="48"/>
      <x:c r="E128" s="48"/>
      <x:c r="F128" s="48"/>
      <x:c r="G128" s="48"/>
      <x:c r="H128" s="48"/>
      <x:c r="I128" s="51" t="str">
        <x:f>IF(H128="未出現",0,IF(H128="部分出現",1,IF(H128="穩定出現",2,"")))</x:f>
      </x:c>
      <x:c r="J128" s="48"/>
      <x:c r="K128" s="48"/>
      <x:c r="L128" s="48"/>
      <x:c r="M128" s="48"/>
      <x:c r="N128" s="48"/>
      <x:c r="O128" s="54"/>
    </x:row>
    <x:row r="129" ht="42" customHeight="1">
      <x:c r="A129" s="45"/>
      <x:c r="B129" s="45"/>
      <x:c r="C129" s="45"/>
      <x:c r="D129" s="48"/>
      <x:c r="E129" s="48"/>
      <x:c r="F129" s="48"/>
      <x:c r="G129" s="48"/>
      <x:c r="H129" s="48"/>
      <x:c r="I129" s="51" t="str">
        <x:f>IF(H129="未出現",0,IF(H129="部分出現",1,IF(H129="穩定出現",2,"")))</x:f>
      </x:c>
      <x:c r="J129" s="48"/>
      <x:c r="K129" s="48"/>
      <x:c r="L129" s="48"/>
      <x:c r="M129" s="48"/>
      <x:c r="N129" s="48"/>
      <x:c r="O129" s="54"/>
    </x:row>
    <x:row r="130" ht="42" customHeight="1">
      <x:c r="A130" s="45"/>
      <x:c r="B130" s="45"/>
      <x:c r="C130" s="45"/>
      <x:c r="D130" s="48"/>
      <x:c r="E130" s="48"/>
      <x:c r="F130" s="48"/>
      <x:c r="G130" s="48"/>
      <x:c r="H130" s="48"/>
      <x:c r="I130" s="51" t="str">
        <x:f>IF(H130="未出現",0,IF(H130="部分出現",1,IF(H130="穩定出現",2,"")))</x:f>
      </x:c>
      <x:c r="J130" s="48"/>
      <x:c r="K130" s="48"/>
      <x:c r="L130" s="48"/>
      <x:c r="M130" s="48"/>
      <x:c r="N130" s="48"/>
      <x:c r="O130" s="54"/>
    </x:row>
    <x:row r="131" ht="42" customHeight="1">
      <x:c r="A131" s="45"/>
      <x:c r="B131" s="45"/>
      <x:c r="C131" s="45"/>
      <x:c r="D131" s="48"/>
      <x:c r="E131" s="48"/>
      <x:c r="F131" s="48"/>
      <x:c r="G131" s="48"/>
      <x:c r="H131" s="48"/>
      <x:c r="I131" s="51" t="str">
        <x:f>IF(H131="未出現",0,IF(H131="部分出現",1,IF(H131="穩定出現",2,"")))</x:f>
      </x:c>
      <x:c r="J131" s="48"/>
      <x:c r="K131" s="48"/>
      <x:c r="L131" s="48"/>
      <x:c r="M131" s="48"/>
      <x:c r="N131" s="48"/>
      <x:c r="O131" s="54"/>
    </x:row>
    <x:row r="132" ht="42" customHeight="1">
      <x:c r="A132" s="45"/>
      <x:c r="B132" s="45"/>
      <x:c r="C132" s="45"/>
      <x:c r="D132" s="48"/>
      <x:c r="E132" s="48"/>
      <x:c r="F132" s="48"/>
      <x:c r="G132" s="48"/>
      <x:c r="H132" s="48"/>
      <x:c r="I132" s="51" t="str">
        <x:f>IF(H132="未出現",0,IF(H132="部分出現",1,IF(H132="穩定出現",2,"")))</x:f>
      </x:c>
      <x:c r="J132" s="48"/>
      <x:c r="K132" s="48"/>
      <x:c r="L132" s="48"/>
      <x:c r="M132" s="48"/>
      <x:c r="N132" s="48"/>
      <x:c r="O132" s="54"/>
    </x:row>
    <x:row r="133" ht="42" customHeight="1">
      <x:c r="A133" s="45"/>
      <x:c r="B133" s="45"/>
      <x:c r="C133" s="45"/>
      <x:c r="D133" s="48"/>
      <x:c r="E133" s="48"/>
      <x:c r="F133" s="48"/>
      <x:c r="G133" s="48"/>
      <x:c r="H133" s="48"/>
      <x:c r="I133" s="51" t="str">
        <x:f>IF(H133="未出現",0,IF(H133="部分出現",1,IF(H133="穩定出現",2,"")))</x:f>
      </x:c>
      <x:c r="J133" s="48"/>
      <x:c r="K133" s="48"/>
      <x:c r="L133" s="48"/>
      <x:c r="M133" s="48"/>
      <x:c r="N133" s="48"/>
      <x:c r="O133" s="54"/>
    </x:row>
    <x:row r="134" ht="42" customHeight="1">
      <x:c r="A134" s="45"/>
      <x:c r="B134" s="45"/>
      <x:c r="C134" s="45"/>
      <x:c r="D134" s="48"/>
      <x:c r="E134" s="48"/>
      <x:c r="F134" s="48"/>
      <x:c r="G134" s="48"/>
      <x:c r="H134" s="48"/>
      <x:c r="I134" s="51" t="str">
        <x:f>IF(H134="未出現",0,IF(H134="部分出現",1,IF(H134="穩定出現",2,"")))</x:f>
      </x:c>
      <x:c r="J134" s="48"/>
      <x:c r="K134" s="48"/>
      <x:c r="L134" s="48"/>
      <x:c r="M134" s="48"/>
      <x:c r="N134" s="48"/>
      <x:c r="O134" s="54"/>
    </x:row>
    <x:row r="135" ht="42" customHeight="1">
      <x:c r="A135" s="45"/>
      <x:c r="B135" s="45"/>
      <x:c r="C135" s="45"/>
      <x:c r="D135" s="48"/>
      <x:c r="E135" s="48"/>
      <x:c r="F135" s="48"/>
      <x:c r="G135" s="48"/>
      <x:c r="H135" s="48"/>
      <x:c r="I135" s="51" t="str">
        <x:f>IF(H135="未出現",0,IF(H135="部分出現",1,IF(H135="穩定出現",2,"")))</x:f>
      </x:c>
      <x:c r="J135" s="48"/>
      <x:c r="K135" s="48"/>
      <x:c r="L135" s="48"/>
      <x:c r="M135" s="48"/>
      <x:c r="N135" s="48"/>
      <x:c r="O135" s="54"/>
    </x:row>
    <x:row r="136" ht="42" customHeight="1">
      <x:c r="A136" s="45"/>
      <x:c r="B136" s="45"/>
      <x:c r="C136" s="45"/>
      <x:c r="D136" s="48"/>
      <x:c r="E136" s="48"/>
      <x:c r="F136" s="48"/>
      <x:c r="G136" s="48"/>
      <x:c r="H136" s="48"/>
      <x:c r="I136" s="51" t="str">
        <x:f>IF(H136="未出現",0,IF(H136="部分出現",1,IF(H136="穩定出現",2,"")))</x:f>
      </x:c>
      <x:c r="J136" s="48"/>
      <x:c r="K136" s="48"/>
      <x:c r="L136" s="48"/>
      <x:c r="M136" s="48"/>
      <x:c r="N136" s="48"/>
      <x:c r="O136" s="54"/>
    </x:row>
    <x:row r="137" ht="42" customHeight="1">
      <x:c r="A137" s="45"/>
      <x:c r="B137" s="45"/>
      <x:c r="C137" s="45"/>
      <x:c r="D137" s="48"/>
      <x:c r="E137" s="48"/>
      <x:c r="F137" s="48"/>
      <x:c r="G137" s="48"/>
      <x:c r="H137" s="48"/>
      <x:c r="I137" s="51" t="str">
        <x:f>IF(H137="未出現",0,IF(H137="部分出現",1,IF(H137="穩定出現",2,"")))</x:f>
      </x:c>
      <x:c r="J137" s="48"/>
      <x:c r="K137" s="48"/>
      <x:c r="L137" s="48"/>
      <x:c r="M137" s="48"/>
      <x:c r="N137" s="48"/>
      <x:c r="O137" s="54"/>
    </x:row>
    <x:row r="138" ht="42" customHeight="1">
      <x:c r="A138" s="45"/>
      <x:c r="B138" s="45"/>
      <x:c r="C138" s="45"/>
      <x:c r="D138" s="48"/>
      <x:c r="E138" s="48"/>
      <x:c r="F138" s="48"/>
      <x:c r="G138" s="48"/>
      <x:c r="H138" s="48"/>
      <x:c r="I138" s="51" t="str">
        <x:f>IF(H138="未出現",0,IF(H138="部分出現",1,IF(H138="穩定出現",2,"")))</x:f>
      </x:c>
      <x:c r="J138" s="48"/>
      <x:c r="K138" s="48"/>
      <x:c r="L138" s="48"/>
      <x:c r="M138" s="48"/>
      <x:c r="N138" s="48"/>
      <x:c r="O138" s="54"/>
    </x:row>
    <x:row r="139" ht="42" customHeight="1">
      <x:c r="A139" s="45"/>
      <x:c r="B139" s="45"/>
      <x:c r="C139" s="45"/>
      <x:c r="D139" s="48"/>
      <x:c r="E139" s="48"/>
      <x:c r="F139" s="48"/>
      <x:c r="G139" s="48"/>
      <x:c r="H139" s="48"/>
      <x:c r="I139" s="51" t="str">
        <x:f>IF(H139="未出現",0,IF(H139="部分出現",1,IF(H139="穩定出現",2,"")))</x:f>
      </x:c>
      <x:c r="J139" s="48"/>
      <x:c r="K139" s="48"/>
      <x:c r="L139" s="48"/>
      <x:c r="M139" s="48"/>
      <x:c r="N139" s="48"/>
      <x:c r="O139" s="54"/>
    </x:row>
    <x:row r="140" ht="42" customHeight="1">
      <x:c r="A140" s="45"/>
      <x:c r="B140" s="45"/>
      <x:c r="C140" s="45"/>
      <x:c r="D140" s="48"/>
      <x:c r="E140" s="48"/>
      <x:c r="F140" s="48"/>
      <x:c r="G140" s="48"/>
      <x:c r="H140" s="48"/>
      <x:c r="I140" s="51" t="str">
        <x:f>IF(H140="未出現",0,IF(H140="部分出現",1,IF(H140="穩定出現",2,"")))</x:f>
      </x:c>
      <x:c r="J140" s="48"/>
      <x:c r="K140" s="48"/>
      <x:c r="L140" s="48"/>
      <x:c r="M140" s="48"/>
      <x:c r="N140" s="48"/>
      <x:c r="O140" s="54"/>
    </x:row>
    <x:row r="141" ht="42" customHeight="1">
      <x:c r="A141" s="45"/>
      <x:c r="B141" s="45"/>
      <x:c r="C141" s="45"/>
      <x:c r="D141" s="48"/>
      <x:c r="E141" s="48"/>
      <x:c r="F141" s="48"/>
      <x:c r="G141" s="48"/>
      <x:c r="H141" s="48"/>
      <x:c r="I141" s="51" t="str">
        <x:f>IF(H141="未出現",0,IF(H141="部分出現",1,IF(H141="穩定出現",2,"")))</x:f>
      </x:c>
      <x:c r="J141" s="48"/>
      <x:c r="K141" s="48"/>
      <x:c r="L141" s="48"/>
      <x:c r="M141" s="48"/>
      <x:c r="N141" s="48"/>
      <x:c r="O141" s="54"/>
    </x:row>
    <x:row r="142" ht="42" customHeight="1">
      <x:c r="A142" s="45"/>
      <x:c r="B142" s="45"/>
      <x:c r="C142" s="45"/>
      <x:c r="D142" s="48"/>
      <x:c r="E142" s="48"/>
      <x:c r="F142" s="48"/>
      <x:c r="G142" s="48"/>
      <x:c r="H142" s="48"/>
      <x:c r="I142" s="51" t="str">
        <x:f>IF(H142="未出現",0,IF(H142="部分出現",1,IF(H142="穩定出現",2,"")))</x:f>
      </x:c>
      <x:c r="J142" s="48"/>
      <x:c r="K142" s="48"/>
      <x:c r="L142" s="48"/>
      <x:c r="M142" s="48"/>
      <x:c r="N142" s="48"/>
      <x:c r="O142" s="54"/>
    </x:row>
    <x:row r="143" ht="42" customHeight="1">
      <x:c r="A143" s="45"/>
      <x:c r="B143" s="45"/>
      <x:c r="C143" s="45"/>
      <x:c r="D143" s="48"/>
      <x:c r="E143" s="48"/>
      <x:c r="F143" s="48"/>
      <x:c r="G143" s="48"/>
      <x:c r="H143" s="48"/>
      <x:c r="I143" s="51" t="str">
        <x:f>IF(H143="未出現",0,IF(H143="部分出現",1,IF(H143="穩定出現",2,"")))</x:f>
      </x:c>
      <x:c r="J143" s="48"/>
      <x:c r="K143" s="48"/>
      <x:c r="L143" s="48"/>
      <x:c r="M143" s="48"/>
      <x:c r="N143" s="48"/>
      <x:c r="O143" s="54"/>
    </x:row>
    <x:row r="144" ht="42" customHeight="1">
      <x:c r="A144" s="45"/>
      <x:c r="B144" s="45"/>
      <x:c r="C144" s="45"/>
      <x:c r="D144" s="48"/>
      <x:c r="E144" s="48"/>
      <x:c r="F144" s="48"/>
      <x:c r="G144" s="48"/>
      <x:c r="H144" s="48"/>
      <x:c r="I144" s="51" t="str">
        <x:f>IF(H144="未出現",0,IF(H144="部分出現",1,IF(H144="穩定出現",2,"")))</x:f>
      </x:c>
      <x:c r="J144" s="48"/>
      <x:c r="K144" s="48"/>
      <x:c r="L144" s="48"/>
      <x:c r="M144" s="48"/>
      <x:c r="N144" s="48"/>
      <x:c r="O144" s="54"/>
    </x:row>
    <x:row r="145" ht="42" customHeight="1">
      <x:c r="A145" s="45"/>
      <x:c r="B145" s="45"/>
      <x:c r="C145" s="45"/>
      <x:c r="D145" s="48"/>
      <x:c r="E145" s="48"/>
      <x:c r="F145" s="48"/>
      <x:c r="G145" s="48"/>
      <x:c r="H145" s="48"/>
      <x:c r="I145" s="51" t="str">
        <x:f>IF(H145="未出現",0,IF(H145="部分出現",1,IF(H145="穩定出現",2,"")))</x:f>
      </x:c>
      <x:c r="J145" s="48"/>
      <x:c r="K145" s="48"/>
      <x:c r="L145" s="48"/>
      <x:c r="M145" s="48"/>
      <x:c r="N145" s="48"/>
      <x:c r="O145" s="54"/>
    </x:row>
    <x:row r="146" ht="42" customHeight="1">
      <x:c r="A146" s="45"/>
      <x:c r="B146" s="45"/>
      <x:c r="C146" s="45"/>
      <x:c r="D146" s="48"/>
      <x:c r="E146" s="48"/>
      <x:c r="F146" s="48"/>
      <x:c r="G146" s="48"/>
      <x:c r="H146" s="48"/>
      <x:c r="I146" s="51" t="str">
        <x:f>IF(H146="未出現",0,IF(H146="部分出現",1,IF(H146="穩定出現",2,"")))</x:f>
      </x:c>
      <x:c r="J146" s="48"/>
      <x:c r="K146" s="48"/>
      <x:c r="L146" s="48"/>
      <x:c r="M146" s="48"/>
      <x:c r="N146" s="48"/>
      <x:c r="O146" s="54"/>
    </x:row>
    <x:row r="147" ht="42" customHeight="1">
      <x:c r="A147" s="45"/>
      <x:c r="B147" s="45"/>
      <x:c r="C147" s="45"/>
      <x:c r="D147" s="48"/>
      <x:c r="E147" s="48"/>
      <x:c r="F147" s="48"/>
      <x:c r="G147" s="48"/>
      <x:c r="H147" s="48"/>
      <x:c r="I147" s="51" t="str">
        <x:f>IF(H147="未出現",0,IF(H147="部分出現",1,IF(H147="穩定出現",2,"")))</x:f>
      </x:c>
      <x:c r="J147" s="48"/>
      <x:c r="K147" s="48"/>
      <x:c r="L147" s="48"/>
      <x:c r="M147" s="48"/>
      <x:c r="N147" s="48"/>
      <x:c r="O147" s="54"/>
    </x:row>
    <x:row r="148" ht="42" customHeight="1">
      <x:c r="A148" s="45"/>
      <x:c r="B148" s="45"/>
      <x:c r="C148" s="45"/>
      <x:c r="D148" s="48"/>
      <x:c r="E148" s="48"/>
      <x:c r="F148" s="48"/>
      <x:c r="G148" s="48"/>
      <x:c r="H148" s="48"/>
      <x:c r="I148" s="51" t="str">
        <x:f>IF(H148="未出現",0,IF(H148="部分出現",1,IF(H148="穩定出現",2,"")))</x:f>
      </x:c>
      <x:c r="J148" s="48"/>
      <x:c r="K148" s="48"/>
      <x:c r="L148" s="48"/>
      <x:c r="M148" s="48"/>
      <x:c r="N148" s="48"/>
      <x:c r="O148" s="54"/>
    </x:row>
    <x:row r="149" ht="42" customHeight="1">
      <x:c r="A149" s="45"/>
      <x:c r="B149" s="45"/>
      <x:c r="C149" s="45"/>
      <x:c r="D149" s="48"/>
      <x:c r="E149" s="48"/>
      <x:c r="F149" s="48"/>
      <x:c r="G149" s="48"/>
      <x:c r="H149" s="48"/>
      <x:c r="I149" s="51" t="str">
        <x:f>IF(H149="未出現",0,IF(H149="部分出現",1,IF(H149="穩定出現",2,"")))</x:f>
      </x:c>
      <x:c r="J149" s="48"/>
      <x:c r="K149" s="48"/>
      <x:c r="L149" s="48"/>
      <x:c r="M149" s="48"/>
      <x:c r="N149" s="48"/>
      <x:c r="O149" s="54"/>
    </x:row>
    <x:row r="150" ht="42" customHeight="1">
      <x:c r="A150" s="45"/>
      <x:c r="B150" s="45"/>
      <x:c r="C150" s="45"/>
      <x:c r="D150" s="48"/>
      <x:c r="E150" s="48"/>
      <x:c r="F150" s="48"/>
      <x:c r="G150" s="48"/>
      <x:c r="H150" s="48"/>
      <x:c r="I150" s="51" t="str">
        <x:f>IF(H150="未出現",0,IF(H150="部分出現",1,IF(H150="穩定出現",2,"")))</x:f>
      </x:c>
      <x:c r="J150" s="48"/>
      <x:c r="K150" s="48"/>
      <x:c r="L150" s="48"/>
      <x:c r="M150" s="48"/>
      <x:c r="N150" s="48"/>
      <x:c r="O150" s="54"/>
    </x:row>
    <x:row r="151" ht="42" customHeight="1">
      <x:c r="A151" s="45"/>
      <x:c r="B151" s="45"/>
      <x:c r="C151" s="45"/>
      <x:c r="D151" s="48"/>
      <x:c r="E151" s="48"/>
      <x:c r="F151" s="48"/>
      <x:c r="G151" s="48"/>
      <x:c r="H151" s="48"/>
      <x:c r="I151" s="51" t="str">
        <x:f>IF(H151="未出現",0,IF(H151="部分出現",1,IF(H151="穩定出現",2,"")))</x:f>
      </x:c>
      <x:c r="J151" s="48"/>
      <x:c r="K151" s="48"/>
      <x:c r="L151" s="48"/>
      <x:c r="M151" s="48"/>
      <x:c r="N151" s="48"/>
      <x:c r="O151" s="54"/>
    </x:row>
    <x:row r="152" ht="42" customHeight="1">
      <x:c r="A152" s="45"/>
      <x:c r="B152" s="45"/>
      <x:c r="C152" s="45"/>
      <x:c r="D152" s="48"/>
      <x:c r="E152" s="48"/>
      <x:c r="F152" s="48"/>
      <x:c r="G152" s="48"/>
      <x:c r="H152" s="48"/>
      <x:c r="I152" s="51" t="str">
        <x:f>IF(H152="未出現",0,IF(H152="部分出現",1,IF(H152="穩定出現",2,"")))</x:f>
      </x:c>
      <x:c r="J152" s="48"/>
      <x:c r="K152" s="48"/>
      <x:c r="L152" s="48"/>
      <x:c r="M152" s="48"/>
      <x:c r="N152" s="48"/>
      <x:c r="O152" s="54"/>
    </x:row>
    <x:row r="153" ht="42" customHeight="1">
      <x:c r="A153" s="45"/>
      <x:c r="B153" s="45"/>
      <x:c r="C153" s="45"/>
      <x:c r="D153" s="48"/>
      <x:c r="E153" s="48"/>
      <x:c r="F153" s="48"/>
      <x:c r="G153" s="48"/>
      <x:c r="H153" s="48"/>
      <x:c r="I153" s="51" t="str">
        <x:f>IF(H153="未出現",0,IF(H153="部分出現",1,IF(H153="穩定出現",2,"")))</x:f>
      </x:c>
      <x:c r="J153" s="48"/>
      <x:c r="K153" s="48"/>
      <x:c r="L153" s="48"/>
      <x:c r="M153" s="48"/>
      <x:c r="N153" s="48"/>
      <x:c r="O153" s="54"/>
    </x:row>
    <x:row r="154" ht="42" customHeight="1">
      <x:c r="A154" s="45"/>
      <x:c r="B154" s="45"/>
      <x:c r="C154" s="45"/>
      <x:c r="D154" s="48"/>
      <x:c r="E154" s="48"/>
      <x:c r="F154" s="48"/>
      <x:c r="G154" s="48"/>
      <x:c r="H154" s="48"/>
      <x:c r="I154" s="51" t="str">
        <x:f>IF(H154="未出現",0,IF(H154="部分出現",1,IF(H154="穩定出現",2,"")))</x:f>
      </x:c>
      <x:c r="J154" s="48"/>
      <x:c r="K154" s="48"/>
      <x:c r="L154" s="48"/>
      <x:c r="M154" s="48"/>
      <x:c r="N154" s="48"/>
      <x:c r="O154" s="54"/>
    </x:row>
    <x:row r="155" ht="42" customHeight="1">
      <x:c r="A155" s="45"/>
      <x:c r="B155" s="45"/>
      <x:c r="C155" s="45"/>
      <x:c r="D155" s="48"/>
      <x:c r="E155" s="48"/>
      <x:c r="F155" s="48"/>
      <x:c r="G155" s="48"/>
      <x:c r="H155" s="48"/>
      <x:c r="I155" s="51" t="str">
        <x:f>IF(H155="未出現",0,IF(H155="部分出現",1,IF(H155="穩定出現",2,"")))</x:f>
      </x:c>
      <x:c r="J155" s="48"/>
      <x:c r="K155" s="48"/>
      <x:c r="L155" s="48"/>
      <x:c r="M155" s="48"/>
      <x:c r="N155" s="48"/>
      <x:c r="O155" s="54"/>
    </x:row>
    <x:row r="156" ht="42" customHeight="1">
      <x:c r="A156" s="45"/>
      <x:c r="B156" s="45"/>
      <x:c r="C156" s="45"/>
      <x:c r="D156" s="48"/>
      <x:c r="E156" s="48"/>
      <x:c r="F156" s="48"/>
      <x:c r="G156" s="48"/>
      <x:c r="H156" s="48"/>
      <x:c r="I156" s="51" t="str">
        <x:f>IF(H156="未出現",0,IF(H156="部分出現",1,IF(H156="穩定出現",2,"")))</x:f>
      </x:c>
      <x:c r="J156" s="48"/>
      <x:c r="K156" s="48"/>
      <x:c r="L156" s="48"/>
      <x:c r="M156" s="48"/>
      <x:c r="N156" s="48"/>
      <x:c r="O156" s="54"/>
    </x:row>
    <x:row r="157" ht="42" customHeight="1">
      <x:c r="A157" s="45"/>
      <x:c r="B157" s="45"/>
      <x:c r="C157" s="45"/>
      <x:c r="D157" s="48"/>
      <x:c r="E157" s="48"/>
      <x:c r="F157" s="48"/>
      <x:c r="G157" s="48"/>
      <x:c r="H157" s="48"/>
      <x:c r="I157" s="51" t="str">
        <x:f>IF(H157="未出現",0,IF(H157="部分出現",1,IF(H157="穩定出現",2,"")))</x:f>
      </x:c>
      <x:c r="J157" s="48"/>
      <x:c r="K157" s="48"/>
      <x:c r="L157" s="48"/>
      <x:c r="M157" s="48"/>
      <x:c r="N157" s="48"/>
      <x:c r="O157" s="54"/>
    </x:row>
    <x:row r="158" ht="42" customHeight="1">
      <x:c r="A158" s="45"/>
      <x:c r="B158" s="45"/>
      <x:c r="C158" s="45"/>
      <x:c r="D158" s="48"/>
      <x:c r="E158" s="48"/>
      <x:c r="F158" s="48"/>
      <x:c r="G158" s="48"/>
      <x:c r="H158" s="48"/>
      <x:c r="I158" s="51" t="str">
        <x:f>IF(H158="未出現",0,IF(H158="部分出現",1,IF(H158="穩定出現",2,"")))</x:f>
      </x:c>
      <x:c r="J158" s="48"/>
      <x:c r="K158" s="48"/>
      <x:c r="L158" s="48"/>
      <x:c r="M158" s="48"/>
      <x:c r="N158" s="48"/>
      <x:c r="O158" s="54"/>
    </x:row>
    <x:row r="159" ht="42" customHeight="1">
      <x:c r="A159" s="45"/>
      <x:c r="B159" s="45"/>
      <x:c r="C159" s="45"/>
      <x:c r="D159" s="48"/>
      <x:c r="E159" s="48"/>
      <x:c r="F159" s="48"/>
      <x:c r="G159" s="48"/>
      <x:c r="H159" s="48"/>
      <x:c r="I159" s="51" t="str">
        <x:f>IF(H159="未出現",0,IF(H159="部分出現",1,IF(H159="穩定出現",2,"")))</x:f>
      </x:c>
      <x:c r="J159" s="48"/>
      <x:c r="K159" s="48"/>
      <x:c r="L159" s="48"/>
      <x:c r="M159" s="48"/>
      <x:c r="N159" s="48"/>
      <x:c r="O159" s="54"/>
    </x:row>
    <x:row r="160" ht="42" customHeight="1">
      <x:c r="A160" s="45"/>
      <x:c r="B160" s="45"/>
      <x:c r="C160" s="45"/>
      <x:c r="D160" s="48"/>
      <x:c r="E160" s="48"/>
      <x:c r="F160" s="48"/>
      <x:c r="G160" s="48"/>
      <x:c r="H160" s="48"/>
      <x:c r="I160" s="51" t="str">
        <x:f>IF(H160="未出現",0,IF(H160="部分出現",1,IF(H160="穩定出現",2,"")))</x:f>
      </x:c>
      <x:c r="J160" s="48"/>
      <x:c r="K160" s="48"/>
      <x:c r="L160" s="48"/>
      <x:c r="M160" s="48"/>
      <x:c r="N160" s="48"/>
      <x:c r="O160" s="54"/>
    </x:row>
    <x:row r="161" ht="42" customHeight="1">
      <x:c r="A161" s="45"/>
      <x:c r="B161" s="45"/>
      <x:c r="C161" s="45"/>
      <x:c r="D161" s="48"/>
      <x:c r="E161" s="48"/>
      <x:c r="F161" s="48"/>
      <x:c r="G161" s="48"/>
      <x:c r="H161" s="48"/>
      <x:c r="I161" s="51" t="str">
        <x:f>IF(H161="未出現",0,IF(H161="部分出現",1,IF(H161="穩定出現",2,"")))</x:f>
      </x:c>
      <x:c r="J161" s="48"/>
      <x:c r="K161" s="48"/>
      <x:c r="L161" s="48"/>
      <x:c r="M161" s="48"/>
      <x:c r="N161" s="48"/>
      <x:c r="O161" s="54"/>
    </x:row>
    <x:row r="162" ht="42" customHeight="1">
      <x:c r="A162" s="45"/>
      <x:c r="B162" s="45"/>
      <x:c r="C162" s="45"/>
      <x:c r="D162" s="48"/>
      <x:c r="E162" s="48"/>
      <x:c r="F162" s="48"/>
      <x:c r="G162" s="48"/>
      <x:c r="H162" s="48"/>
      <x:c r="I162" s="51" t="str">
        <x:f>IF(H162="未出現",0,IF(H162="部分出現",1,IF(H162="穩定出現",2,"")))</x:f>
      </x:c>
      <x:c r="J162" s="48"/>
      <x:c r="K162" s="48"/>
      <x:c r="L162" s="48"/>
      <x:c r="M162" s="48"/>
      <x:c r="N162" s="48"/>
      <x:c r="O162" s="54"/>
    </x:row>
    <x:row r="163" ht="42" customHeight="1">
      <x:c r="A163" s="45"/>
      <x:c r="B163" s="45"/>
      <x:c r="C163" s="45"/>
      <x:c r="D163" s="48"/>
      <x:c r="E163" s="48"/>
      <x:c r="F163" s="48"/>
      <x:c r="G163" s="48"/>
      <x:c r="H163" s="48"/>
      <x:c r="I163" s="51" t="str">
        <x:f>IF(H163="未出現",0,IF(H163="部分出現",1,IF(H163="穩定出現",2,"")))</x:f>
      </x:c>
      <x:c r="J163" s="48"/>
      <x:c r="K163" s="48"/>
      <x:c r="L163" s="48"/>
      <x:c r="M163" s="48"/>
      <x:c r="N163" s="48"/>
      <x:c r="O163" s="54"/>
    </x:row>
    <x:row r="164" ht="42" customHeight="1">
      <x:c r="A164" s="45"/>
      <x:c r="B164" s="45"/>
      <x:c r="C164" s="45"/>
      <x:c r="D164" s="48"/>
      <x:c r="E164" s="48"/>
      <x:c r="F164" s="48"/>
      <x:c r="G164" s="48"/>
      <x:c r="H164" s="48"/>
      <x:c r="I164" s="51" t="str">
        <x:f>IF(H164="未出現",0,IF(H164="部分出現",1,IF(H164="穩定出現",2,"")))</x:f>
      </x:c>
      <x:c r="J164" s="48"/>
      <x:c r="K164" s="48"/>
      <x:c r="L164" s="48"/>
      <x:c r="M164" s="48"/>
      <x:c r="N164" s="48"/>
      <x:c r="O164" s="54"/>
    </x:row>
    <x:row r="165" ht="42" customHeight="1">
      <x:c r="A165" s="45"/>
      <x:c r="B165" s="45"/>
      <x:c r="C165" s="45"/>
      <x:c r="D165" s="48"/>
      <x:c r="E165" s="48"/>
      <x:c r="F165" s="48"/>
      <x:c r="G165" s="48"/>
      <x:c r="H165" s="48"/>
      <x:c r="I165" s="51" t="str">
        <x:f>IF(H165="未出現",0,IF(H165="部分出現",1,IF(H165="穩定出現",2,"")))</x:f>
      </x:c>
      <x:c r="J165" s="48"/>
      <x:c r="K165" s="48"/>
      <x:c r="L165" s="48"/>
      <x:c r="M165" s="48"/>
      <x:c r="N165" s="48"/>
      <x:c r="O165" s="54"/>
    </x:row>
    <x:row r="166" ht="42" customHeight="1">
      <x:c r="A166" s="45"/>
      <x:c r="B166" s="45"/>
      <x:c r="C166" s="45"/>
      <x:c r="D166" s="48"/>
      <x:c r="E166" s="48"/>
      <x:c r="F166" s="48"/>
      <x:c r="G166" s="48"/>
      <x:c r="H166" s="48"/>
      <x:c r="I166" s="51" t="str">
        <x:f>IF(H166="未出現",0,IF(H166="部分出現",1,IF(H166="穩定出現",2,"")))</x:f>
      </x:c>
      <x:c r="J166" s="48"/>
      <x:c r="K166" s="48"/>
      <x:c r="L166" s="48"/>
      <x:c r="M166" s="48"/>
      <x:c r="N166" s="48"/>
      <x:c r="O166" s="54"/>
    </x:row>
    <x:row r="167" ht="42" customHeight="1">
      <x:c r="A167" s="45"/>
      <x:c r="B167" s="45"/>
      <x:c r="C167" s="45"/>
      <x:c r="D167" s="48"/>
      <x:c r="E167" s="48"/>
      <x:c r="F167" s="48"/>
      <x:c r="G167" s="48"/>
      <x:c r="H167" s="48"/>
      <x:c r="I167" s="51" t="str">
        <x:f>IF(H167="未出現",0,IF(H167="部分出現",1,IF(H167="穩定出現",2,"")))</x:f>
      </x:c>
      <x:c r="J167" s="48"/>
      <x:c r="K167" s="48"/>
      <x:c r="L167" s="48"/>
      <x:c r="M167" s="48"/>
      <x:c r="N167" s="48"/>
      <x:c r="O167" s="54"/>
    </x:row>
    <x:row r="168" ht="42" customHeight="1">
      <x:c r="A168" s="45"/>
      <x:c r="B168" s="45"/>
      <x:c r="C168" s="45"/>
      <x:c r="D168" s="48"/>
      <x:c r="E168" s="48"/>
      <x:c r="F168" s="48"/>
      <x:c r="G168" s="48"/>
      <x:c r="H168" s="48"/>
      <x:c r="I168" s="51" t="str">
        <x:f>IF(H168="未出現",0,IF(H168="部分出現",1,IF(H168="穩定出現",2,"")))</x:f>
      </x:c>
      <x:c r="J168" s="48"/>
      <x:c r="K168" s="48"/>
      <x:c r="L168" s="48"/>
      <x:c r="M168" s="48"/>
      <x:c r="N168" s="48"/>
      <x:c r="O168" s="54"/>
    </x:row>
    <x:row r="169" ht="42" customHeight="1">
      <x:c r="A169" s="45"/>
      <x:c r="B169" s="45"/>
      <x:c r="C169" s="45"/>
      <x:c r="D169" s="48"/>
      <x:c r="E169" s="48"/>
      <x:c r="F169" s="48"/>
      <x:c r="G169" s="48"/>
      <x:c r="H169" s="48"/>
      <x:c r="I169" s="51" t="str">
        <x:f>IF(H169="未出現",0,IF(H169="部分出現",1,IF(H169="穩定出現",2,"")))</x:f>
      </x:c>
      <x:c r="J169" s="48"/>
      <x:c r="K169" s="48"/>
      <x:c r="L169" s="48"/>
      <x:c r="M169" s="48"/>
      <x:c r="N169" s="48"/>
      <x:c r="O169" s="54"/>
    </x:row>
    <x:row r="170" ht="42" customHeight="1">
      <x:c r="A170" s="45"/>
      <x:c r="B170" s="45"/>
      <x:c r="C170" s="45"/>
      <x:c r="D170" s="48"/>
      <x:c r="E170" s="48"/>
      <x:c r="F170" s="48"/>
      <x:c r="G170" s="48"/>
      <x:c r="H170" s="48"/>
      <x:c r="I170" s="51" t="str">
        <x:f>IF(H170="未出現",0,IF(H170="部分出現",1,IF(H170="穩定出現",2,"")))</x:f>
      </x:c>
      <x:c r="J170" s="48"/>
      <x:c r="K170" s="48"/>
      <x:c r="L170" s="48"/>
      <x:c r="M170" s="48"/>
      <x:c r="N170" s="48"/>
      <x:c r="O170" s="54"/>
    </x:row>
    <x:row r="171" ht="42" customHeight="1">
      <x:c r="A171" s="45"/>
      <x:c r="B171" s="45"/>
      <x:c r="C171" s="45"/>
      <x:c r="D171" s="48"/>
      <x:c r="E171" s="48"/>
      <x:c r="F171" s="48"/>
      <x:c r="G171" s="48"/>
      <x:c r="H171" s="48"/>
      <x:c r="I171" s="51" t="str">
        <x:f>IF(H171="未出現",0,IF(H171="部分出現",1,IF(H171="穩定出現",2,"")))</x:f>
      </x:c>
      <x:c r="J171" s="48"/>
      <x:c r="K171" s="48"/>
      <x:c r="L171" s="48"/>
      <x:c r="M171" s="48"/>
      <x:c r="N171" s="48"/>
      <x:c r="O171" s="54"/>
    </x:row>
    <x:row r="172" ht="42" customHeight="1">
      <x:c r="A172" s="45"/>
      <x:c r="B172" s="45"/>
      <x:c r="C172" s="45"/>
      <x:c r="D172" s="48"/>
      <x:c r="E172" s="48"/>
      <x:c r="F172" s="48"/>
      <x:c r="G172" s="48"/>
      <x:c r="H172" s="48"/>
      <x:c r="I172" s="51" t="str">
        <x:f>IF(H172="未出現",0,IF(H172="部分出現",1,IF(H172="穩定出現",2,"")))</x:f>
      </x:c>
      <x:c r="J172" s="48"/>
      <x:c r="K172" s="48"/>
      <x:c r="L172" s="48"/>
      <x:c r="M172" s="48"/>
      <x:c r="N172" s="48"/>
      <x:c r="O172" s="54"/>
    </x:row>
    <x:row r="173" ht="42" customHeight="1">
      <x:c r="A173" s="45"/>
      <x:c r="B173" s="45"/>
      <x:c r="C173" s="45"/>
      <x:c r="D173" s="48"/>
      <x:c r="E173" s="48"/>
      <x:c r="F173" s="48"/>
      <x:c r="G173" s="48"/>
      <x:c r="H173" s="48"/>
      <x:c r="I173" s="51" t="str">
        <x:f>IF(H173="未出現",0,IF(H173="部分出現",1,IF(H173="穩定出現",2,"")))</x:f>
      </x:c>
      <x:c r="J173" s="48"/>
      <x:c r="K173" s="48"/>
      <x:c r="L173" s="48"/>
      <x:c r="M173" s="48"/>
      <x:c r="N173" s="48"/>
      <x:c r="O173" s="54"/>
    </x:row>
    <x:row r="174" ht="42" customHeight="1">
      <x:c r="A174" s="45"/>
      <x:c r="B174" s="45"/>
      <x:c r="C174" s="45"/>
      <x:c r="D174" s="48"/>
      <x:c r="E174" s="48"/>
      <x:c r="F174" s="48"/>
      <x:c r="G174" s="48"/>
      <x:c r="H174" s="48"/>
      <x:c r="I174" s="51" t="str">
        <x:f>IF(H174="未出現",0,IF(H174="部分出現",1,IF(H174="穩定出現",2,"")))</x:f>
      </x:c>
      <x:c r="J174" s="48"/>
      <x:c r="K174" s="48"/>
      <x:c r="L174" s="48"/>
      <x:c r="M174" s="48"/>
      <x:c r="N174" s="48"/>
      <x:c r="O174" s="54"/>
    </x:row>
    <x:row r="175" ht="42" customHeight="1">
      <x:c r="A175" s="45"/>
      <x:c r="B175" s="45"/>
      <x:c r="C175" s="45"/>
      <x:c r="D175" s="48"/>
      <x:c r="E175" s="48"/>
      <x:c r="F175" s="48"/>
      <x:c r="G175" s="48"/>
      <x:c r="H175" s="48"/>
      <x:c r="I175" s="51" t="str">
        <x:f>IF(H175="未出現",0,IF(H175="部分出現",1,IF(H175="穩定出現",2,"")))</x:f>
      </x:c>
      <x:c r="J175" s="48"/>
      <x:c r="K175" s="48"/>
      <x:c r="L175" s="48"/>
      <x:c r="M175" s="48"/>
      <x:c r="N175" s="48"/>
      <x:c r="O175" s="54"/>
    </x:row>
    <x:row r="176" ht="42" customHeight="1">
      <x:c r="A176" s="45"/>
      <x:c r="B176" s="45"/>
      <x:c r="C176" s="45"/>
      <x:c r="D176" s="48"/>
      <x:c r="E176" s="48"/>
      <x:c r="F176" s="48"/>
      <x:c r="G176" s="48"/>
      <x:c r="H176" s="48"/>
      <x:c r="I176" s="51" t="str">
        <x:f>IF(H176="未出現",0,IF(H176="部分出現",1,IF(H176="穩定出現",2,"")))</x:f>
      </x:c>
      <x:c r="J176" s="48"/>
      <x:c r="K176" s="48"/>
      <x:c r="L176" s="48"/>
      <x:c r="M176" s="48"/>
      <x:c r="N176" s="48"/>
      <x:c r="O176" s="54"/>
    </x:row>
    <x:row r="177" ht="42" customHeight="1">
      <x:c r="A177" s="45"/>
      <x:c r="B177" s="45"/>
      <x:c r="C177" s="45"/>
      <x:c r="D177" s="48"/>
      <x:c r="E177" s="48"/>
      <x:c r="F177" s="48"/>
      <x:c r="G177" s="48"/>
      <x:c r="H177" s="48"/>
      <x:c r="I177" s="51" t="str">
        <x:f>IF(H177="未出現",0,IF(H177="部分出現",1,IF(H177="穩定出現",2,"")))</x:f>
      </x:c>
      <x:c r="J177" s="48"/>
      <x:c r="K177" s="48"/>
      <x:c r="L177" s="48"/>
      <x:c r="M177" s="48"/>
      <x:c r="N177" s="48"/>
      <x:c r="O177" s="54"/>
    </x:row>
    <x:row r="178" ht="42" customHeight="1">
      <x:c r="A178" s="45"/>
      <x:c r="B178" s="45"/>
      <x:c r="C178" s="45"/>
      <x:c r="D178" s="48"/>
      <x:c r="E178" s="48"/>
      <x:c r="F178" s="48"/>
      <x:c r="G178" s="48"/>
      <x:c r="H178" s="48"/>
      <x:c r="I178" s="51" t="str">
        <x:f>IF(H178="未出現",0,IF(H178="部分出現",1,IF(H178="穩定出現",2,"")))</x:f>
      </x:c>
      <x:c r="J178" s="48"/>
      <x:c r="K178" s="48"/>
      <x:c r="L178" s="48"/>
      <x:c r="M178" s="48"/>
      <x:c r="N178" s="48"/>
      <x:c r="O178" s="54"/>
    </x:row>
    <x:row r="179" ht="42" customHeight="1">
      <x:c r="A179" s="45"/>
      <x:c r="B179" s="45"/>
      <x:c r="C179" s="45"/>
      <x:c r="D179" s="48"/>
      <x:c r="E179" s="48"/>
      <x:c r="F179" s="48"/>
      <x:c r="G179" s="48"/>
      <x:c r="H179" s="48"/>
      <x:c r="I179" s="51" t="str">
        <x:f>IF(H179="未出現",0,IF(H179="部分出現",1,IF(H179="穩定出現",2,"")))</x:f>
      </x:c>
      <x:c r="J179" s="48"/>
      <x:c r="K179" s="48"/>
      <x:c r="L179" s="48"/>
      <x:c r="M179" s="48"/>
      <x:c r="N179" s="48"/>
      <x:c r="O179" s="54"/>
    </x:row>
    <x:row r="180" ht="42" customHeight="1">
      <x:c r="A180" s="45"/>
      <x:c r="B180" s="45"/>
      <x:c r="C180" s="45"/>
      <x:c r="D180" s="48"/>
      <x:c r="E180" s="48"/>
      <x:c r="F180" s="48"/>
      <x:c r="G180" s="48"/>
      <x:c r="H180" s="48"/>
      <x:c r="I180" s="51" t="str">
        <x:f>IF(H180="未出現",0,IF(H180="部分出現",1,IF(H180="穩定出現",2,"")))</x:f>
      </x:c>
      <x:c r="J180" s="48"/>
      <x:c r="K180" s="48"/>
      <x:c r="L180" s="48"/>
      <x:c r="M180" s="48"/>
      <x:c r="N180" s="48"/>
      <x:c r="O180" s="54"/>
    </x:row>
    <x:row r="181" ht="42" customHeight="1">
      <x:c r="A181" s="45"/>
      <x:c r="B181" s="45"/>
      <x:c r="C181" s="45"/>
      <x:c r="D181" s="48"/>
      <x:c r="E181" s="48"/>
      <x:c r="F181" s="48"/>
      <x:c r="G181" s="48"/>
      <x:c r="H181" s="48"/>
      <x:c r="I181" s="51" t="str">
        <x:f>IF(H181="未出現",0,IF(H181="部分出現",1,IF(H181="穩定出現",2,"")))</x:f>
      </x:c>
      <x:c r="J181" s="48"/>
      <x:c r="K181" s="48"/>
      <x:c r="L181" s="48"/>
      <x:c r="M181" s="48"/>
      <x:c r="N181" s="48"/>
      <x:c r="O181" s="54"/>
    </x:row>
    <x:row r="182" ht="42" customHeight="1">
      <x:c r="A182" s="45"/>
      <x:c r="B182" s="45"/>
      <x:c r="C182" s="45"/>
      <x:c r="D182" s="48"/>
      <x:c r="E182" s="48"/>
      <x:c r="F182" s="48"/>
      <x:c r="G182" s="48"/>
      <x:c r="H182" s="48"/>
      <x:c r="I182" s="51" t="str">
        <x:f>IF(H182="未出現",0,IF(H182="部分出現",1,IF(H182="穩定出現",2,"")))</x:f>
      </x:c>
      <x:c r="J182" s="48"/>
      <x:c r="K182" s="48"/>
      <x:c r="L182" s="48"/>
      <x:c r="M182" s="48"/>
      <x:c r="N182" s="48"/>
      <x:c r="O182" s="54"/>
    </x:row>
    <x:row r="183" ht="42" customHeight="1">
      <x:c r="A183" s="45"/>
      <x:c r="B183" s="45"/>
      <x:c r="C183" s="45"/>
      <x:c r="D183" s="48"/>
      <x:c r="E183" s="48"/>
      <x:c r="F183" s="48"/>
      <x:c r="G183" s="48"/>
      <x:c r="H183" s="48"/>
      <x:c r="I183" s="51" t="str">
        <x:f>IF(H183="未出現",0,IF(H183="部分出現",1,IF(H183="穩定出現",2,"")))</x:f>
      </x:c>
      <x:c r="J183" s="48"/>
      <x:c r="K183" s="48"/>
      <x:c r="L183" s="48"/>
      <x:c r="M183" s="48"/>
      <x:c r="N183" s="48"/>
      <x:c r="O183" s="54"/>
    </x:row>
    <x:row r="184" ht="42" customHeight="1">
      <x:c r="A184" s="45"/>
      <x:c r="B184" s="45"/>
      <x:c r="C184" s="45"/>
      <x:c r="D184" s="48"/>
      <x:c r="E184" s="48"/>
      <x:c r="F184" s="48"/>
      <x:c r="G184" s="48"/>
      <x:c r="H184" s="48"/>
      <x:c r="I184" s="51" t="str">
        <x:f>IF(H184="未出現",0,IF(H184="部分出現",1,IF(H184="穩定出現",2,"")))</x:f>
      </x:c>
      <x:c r="J184" s="48"/>
      <x:c r="K184" s="48"/>
      <x:c r="L184" s="48"/>
      <x:c r="M184" s="48"/>
      <x:c r="N184" s="48"/>
      <x:c r="O184" s="54"/>
    </x:row>
    <x:row r="185" ht="42" customHeight="1">
      <x:c r="A185" s="45"/>
      <x:c r="B185" s="45"/>
      <x:c r="C185" s="45"/>
      <x:c r="D185" s="48"/>
      <x:c r="E185" s="48"/>
      <x:c r="F185" s="48"/>
      <x:c r="G185" s="48"/>
      <x:c r="H185" s="48"/>
      <x:c r="I185" s="51" t="str">
        <x:f>IF(H185="未出現",0,IF(H185="部分出現",1,IF(H185="穩定出現",2,"")))</x:f>
      </x:c>
      <x:c r="J185" s="48"/>
      <x:c r="K185" s="48"/>
      <x:c r="L185" s="48"/>
      <x:c r="M185" s="48"/>
      <x:c r="N185" s="48"/>
      <x:c r="O185" s="54"/>
    </x:row>
    <x:row r="186" ht="42" customHeight="1">
      <x:c r="A186" s="45"/>
      <x:c r="B186" s="45"/>
      <x:c r="C186" s="45"/>
      <x:c r="D186" s="48"/>
      <x:c r="E186" s="48"/>
      <x:c r="F186" s="48"/>
      <x:c r="G186" s="48"/>
      <x:c r="H186" s="48"/>
      <x:c r="I186" s="51" t="str">
        <x:f>IF(H186="未出現",0,IF(H186="部分出現",1,IF(H186="穩定出現",2,"")))</x:f>
      </x:c>
      <x:c r="J186" s="48"/>
      <x:c r="K186" s="48"/>
      <x:c r="L186" s="48"/>
      <x:c r="M186" s="48"/>
      <x:c r="N186" s="48"/>
      <x:c r="O186" s="54"/>
    </x:row>
    <x:row r="187" ht="42" customHeight="1">
      <x:c r="A187" s="45"/>
      <x:c r="B187" s="45"/>
      <x:c r="C187" s="45"/>
      <x:c r="D187" s="48"/>
      <x:c r="E187" s="48"/>
      <x:c r="F187" s="48"/>
      <x:c r="G187" s="48"/>
      <x:c r="H187" s="48"/>
      <x:c r="I187" s="51" t="str">
        <x:f>IF(H187="未出現",0,IF(H187="部分出現",1,IF(H187="穩定出現",2,"")))</x:f>
      </x:c>
      <x:c r="J187" s="48"/>
      <x:c r="K187" s="48"/>
      <x:c r="L187" s="48"/>
      <x:c r="M187" s="48"/>
      <x:c r="N187" s="48"/>
      <x:c r="O187" s="54"/>
    </x:row>
    <x:row r="188" ht="42" customHeight="1">
      <x:c r="A188" s="45"/>
      <x:c r="B188" s="45"/>
      <x:c r="C188" s="45"/>
      <x:c r="D188" s="48"/>
      <x:c r="E188" s="48"/>
      <x:c r="F188" s="48"/>
      <x:c r="G188" s="48"/>
      <x:c r="H188" s="48"/>
      <x:c r="I188" s="51" t="str">
        <x:f>IF(H188="未出現",0,IF(H188="部分出現",1,IF(H188="穩定出現",2,"")))</x:f>
      </x:c>
      <x:c r="J188" s="48"/>
      <x:c r="K188" s="48"/>
      <x:c r="L188" s="48"/>
      <x:c r="M188" s="48"/>
      <x:c r="N188" s="48"/>
      <x:c r="O188" s="54"/>
    </x:row>
    <x:row r="189" ht="42" customHeight="1">
      <x:c r="A189" s="45"/>
      <x:c r="B189" s="45"/>
      <x:c r="C189" s="45"/>
      <x:c r="D189" s="48"/>
      <x:c r="E189" s="48"/>
      <x:c r="F189" s="48"/>
      <x:c r="G189" s="48"/>
      <x:c r="H189" s="48"/>
      <x:c r="I189" s="51" t="str">
        <x:f>IF(H189="未出現",0,IF(H189="部分出現",1,IF(H189="穩定出現",2,"")))</x:f>
      </x:c>
      <x:c r="J189" s="48"/>
      <x:c r="K189" s="48"/>
      <x:c r="L189" s="48"/>
      <x:c r="M189" s="48"/>
      <x:c r="N189" s="48"/>
      <x:c r="O189" s="54"/>
    </x:row>
    <x:row r="190" ht="42" customHeight="1">
      <x:c r="A190" s="45"/>
      <x:c r="B190" s="45"/>
      <x:c r="C190" s="45"/>
      <x:c r="D190" s="48"/>
      <x:c r="E190" s="48"/>
      <x:c r="F190" s="48"/>
      <x:c r="G190" s="48"/>
      <x:c r="H190" s="48"/>
      <x:c r="I190" s="51" t="str">
        <x:f>IF(H190="未出現",0,IF(H190="部分出現",1,IF(H190="穩定出現",2,"")))</x:f>
      </x:c>
      <x:c r="J190" s="48"/>
      <x:c r="K190" s="48"/>
      <x:c r="L190" s="48"/>
      <x:c r="M190" s="48"/>
      <x:c r="N190" s="48"/>
      <x:c r="O190" s="54"/>
    </x:row>
    <x:row r="191" ht="42" customHeight="1">
      <x:c r="A191" s="45"/>
      <x:c r="B191" s="45"/>
      <x:c r="C191" s="45"/>
      <x:c r="D191" s="48"/>
      <x:c r="E191" s="48"/>
      <x:c r="F191" s="48"/>
      <x:c r="G191" s="48"/>
      <x:c r="H191" s="48"/>
      <x:c r="I191" s="51" t="str">
        <x:f>IF(H191="未出現",0,IF(H191="部分出現",1,IF(H191="穩定出現",2,"")))</x:f>
      </x:c>
      <x:c r="J191" s="48"/>
      <x:c r="K191" s="48"/>
      <x:c r="L191" s="48"/>
      <x:c r="M191" s="48"/>
      <x:c r="N191" s="48"/>
      <x:c r="O191" s="54"/>
    </x:row>
    <x:row r="192" ht="42" customHeight="1">
      <x:c r="A192" s="45"/>
      <x:c r="B192" s="45"/>
      <x:c r="C192" s="45"/>
      <x:c r="D192" s="48"/>
      <x:c r="E192" s="48"/>
      <x:c r="F192" s="48"/>
      <x:c r="G192" s="48"/>
      <x:c r="H192" s="48"/>
      <x:c r="I192" s="51" t="str">
        <x:f>IF(H192="未出現",0,IF(H192="部分出現",1,IF(H192="穩定出現",2,"")))</x:f>
      </x:c>
      <x:c r="J192" s="48"/>
      <x:c r="K192" s="48"/>
      <x:c r="L192" s="48"/>
      <x:c r="M192" s="48"/>
      <x:c r="N192" s="48"/>
      <x:c r="O192" s="54"/>
    </x:row>
    <x:row r="193" ht="42" customHeight="1">
      <x:c r="A193" s="45"/>
      <x:c r="B193" s="45"/>
      <x:c r="C193" s="45"/>
      <x:c r="D193" s="48"/>
      <x:c r="E193" s="48"/>
      <x:c r="F193" s="48"/>
      <x:c r="G193" s="48"/>
      <x:c r="H193" s="48"/>
      <x:c r="I193" s="51" t="str">
        <x:f>IF(H193="未出現",0,IF(H193="部分出現",1,IF(H193="穩定出現",2,"")))</x:f>
      </x:c>
      <x:c r="J193" s="48"/>
      <x:c r="K193" s="48"/>
      <x:c r="L193" s="48"/>
      <x:c r="M193" s="48"/>
      <x:c r="N193" s="48"/>
      <x:c r="O193" s="54"/>
    </x:row>
    <x:row r="194" ht="42" customHeight="1">
      <x:c r="A194" s="45"/>
      <x:c r="B194" s="45"/>
      <x:c r="C194" s="45"/>
      <x:c r="D194" s="48"/>
      <x:c r="E194" s="48"/>
      <x:c r="F194" s="48"/>
      <x:c r="G194" s="48"/>
      <x:c r="H194" s="48"/>
      <x:c r="I194" s="51" t="str">
        <x:f>IF(H194="未出現",0,IF(H194="部分出現",1,IF(H194="穩定出現",2,"")))</x:f>
      </x:c>
      <x:c r="J194" s="48"/>
      <x:c r="K194" s="48"/>
      <x:c r="L194" s="48"/>
      <x:c r="M194" s="48"/>
      <x:c r="N194" s="48"/>
      <x:c r="O194" s="54"/>
    </x:row>
    <x:row r="195" ht="42" customHeight="1">
      <x:c r="A195" s="45"/>
      <x:c r="B195" s="45"/>
      <x:c r="C195" s="45"/>
      <x:c r="D195" s="48"/>
      <x:c r="E195" s="48"/>
      <x:c r="F195" s="48"/>
      <x:c r="G195" s="48"/>
      <x:c r="H195" s="48"/>
      <x:c r="I195" s="51" t="str">
        <x:f>IF(H195="未出現",0,IF(H195="部分出現",1,IF(H195="穩定出現",2,"")))</x:f>
      </x:c>
      <x:c r="J195" s="48"/>
      <x:c r="K195" s="48"/>
      <x:c r="L195" s="48"/>
      <x:c r="M195" s="48"/>
      <x:c r="N195" s="48"/>
      <x:c r="O195" s="54"/>
    </x:row>
    <x:row r="196" ht="42" customHeight="1">
      <x:c r="A196" s="45"/>
      <x:c r="B196" s="45"/>
      <x:c r="C196" s="45"/>
      <x:c r="D196" s="48"/>
      <x:c r="E196" s="48"/>
      <x:c r="F196" s="48"/>
      <x:c r="G196" s="48"/>
      <x:c r="H196" s="48"/>
      <x:c r="I196" s="51" t="str">
        <x:f>IF(H196="未出現",0,IF(H196="部分出現",1,IF(H196="穩定出現",2,"")))</x:f>
      </x:c>
      <x:c r="J196" s="48"/>
      <x:c r="K196" s="48"/>
      <x:c r="L196" s="48"/>
      <x:c r="M196" s="48"/>
      <x:c r="N196" s="48"/>
      <x:c r="O196" s="54"/>
    </x:row>
    <x:row r="197" ht="42" customHeight="1">
      <x:c r="A197" s="45"/>
      <x:c r="B197" s="45"/>
      <x:c r="C197" s="45"/>
      <x:c r="D197" s="48"/>
      <x:c r="E197" s="48"/>
      <x:c r="F197" s="48"/>
      <x:c r="G197" s="48"/>
      <x:c r="H197" s="48"/>
      <x:c r="I197" s="51" t="str">
        <x:f>IF(H197="未出現",0,IF(H197="部分出現",1,IF(H197="穩定出現",2,"")))</x:f>
      </x:c>
      <x:c r="J197" s="48"/>
      <x:c r="K197" s="48"/>
      <x:c r="L197" s="48"/>
      <x:c r="M197" s="48"/>
      <x:c r="N197" s="48"/>
      <x:c r="O197" s="54"/>
    </x:row>
    <x:row r="198" ht="42" customHeight="1">
      <x:c r="A198" s="45"/>
      <x:c r="B198" s="45"/>
      <x:c r="C198" s="45"/>
      <x:c r="D198" s="48"/>
      <x:c r="E198" s="48"/>
      <x:c r="F198" s="48"/>
      <x:c r="G198" s="48"/>
      <x:c r="H198" s="48"/>
      <x:c r="I198" s="51" t="str">
        <x:f>IF(H198="未出現",0,IF(H198="部分出現",1,IF(H198="穩定出現",2,"")))</x:f>
      </x:c>
      <x:c r="J198" s="48"/>
      <x:c r="K198" s="48"/>
      <x:c r="L198" s="48"/>
      <x:c r="M198" s="48"/>
      <x:c r="N198" s="48"/>
      <x:c r="O198" s="54"/>
    </x:row>
    <x:row r="199" ht="42" customHeight="1">
      <x:c r="A199" s="45"/>
      <x:c r="B199" s="45"/>
      <x:c r="C199" s="45"/>
      <x:c r="D199" s="48"/>
      <x:c r="E199" s="48"/>
      <x:c r="F199" s="48"/>
      <x:c r="G199" s="48"/>
      <x:c r="H199" s="48"/>
      <x:c r="I199" s="51" t="str">
        <x:f>IF(H199="未出現",0,IF(H199="部分出現",1,IF(H199="穩定出現",2,"")))</x:f>
      </x:c>
      <x:c r="J199" s="48"/>
      <x:c r="K199" s="48"/>
      <x:c r="L199" s="48"/>
      <x:c r="M199" s="48"/>
      <x:c r="N199" s="48"/>
      <x:c r="O199" s="54"/>
    </x:row>
    <x:row r="200" ht="42" customHeight="1">
      <x:c r="A200" s="45"/>
      <x:c r="B200" s="45"/>
      <x:c r="C200" s="45"/>
      <x:c r="D200" s="48"/>
      <x:c r="E200" s="48"/>
      <x:c r="F200" s="48"/>
      <x:c r="G200" s="48"/>
      <x:c r="H200" s="48"/>
      <x:c r="I200" s="51" t="str">
        <x:f>IF(H200="未出現",0,IF(H200="部分出現",1,IF(H200="穩定出現",2,"")))</x:f>
      </x:c>
      <x:c r="J200" s="48"/>
      <x:c r="K200" s="48"/>
      <x:c r="L200" s="48"/>
      <x:c r="M200" s="48"/>
      <x:c r="N200" s="48"/>
      <x:c r="O200" s="54"/>
    </x:row>
    <x:row r="201" ht="42" customHeight="1">
      <x:c r="A201" s="45"/>
      <x:c r="B201" s="45"/>
      <x:c r="C201" s="45"/>
      <x:c r="D201" s="48"/>
      <x:c r="E201" s="48"/>
      <x:c r="F201" s="48"/>
      <x:c r="G201" s="48"/>
      <x:c r="H201" s="48"/>
      <x:c r="I201" s="51" t="str">
        <x:f>IF(H201="未出現",0,IF(H201="部分出現",1,IF(H201="穩定出現",2,"")))</x:f>
      </x:c>
      <x:c r="J201" s="48"/>
      <x:c r="K201" s="48"/>
      <x:c r="L201" s="48"/>
      <x:c r="M201" s="48"/>
      <x:c r="N201" s="48"/>
      <x:c r="O201" s="54"/>
    </x:row>
    <x:row r="202" ht="42" customHeight="1">
      <x:c r="A202" s="45"/>
      <x:c r="B202" s="45"/>
      <x:c r="C202" s="45"/>
      <x:c r="D202" s="48"/>
      <x:c r="E202" s="48"/>
      <x:c r="F202" s="48"/>
      <x:c r="G202" s="48"/>
      <x:c r="H202" s="48"/>
      <x:c r="I202" s="51" t="str">
        <x:f>IF(H202="未出現",0,IF(H202="部分出現",1,IF(H202="穩定出現",2,"")))</x:f>
      </x:c>
      <x:c r="J202" s="48"/>
      <x:c r="K202" s="48"/>
      <x:c r="L202" s="48"/>
      <x:c r="M202" s="48"/>
      <x:c r="N202" s="48"/>
      <x:c r="O202" s="54"/>
    </x:row>
    <x:row r="203" ht="42" customHeight="1">
      <x:c r="A203" s="45"/>
      <x:c r="B203" s="45"/>
      <x:c r="C203" s="45"/>
      <x:c r="D203" s="48"/>
      <x:c r="E203" s="48"/>
      <x:c r="F203" s="48"/>
      <x:c r="G203" s="48"/>
      <x:c r="H203" s="48"/>
      <x:c r="I203" s="51" t="str">
        <x:f>IF(H203="未出現",0,IF(H203="部分出現",1,IF(H203="穩定出現",2,"")))</x:f>
      </x:c>
      <x:c r="J203" s="48"/>
      <x:c r="K203" s="48"/>
      <x:c r="L203" s="48"/>
      <x:c r="M203" s="48"/>
      <x:c r="N203" s="48"/>
      <x:c r="O203" s="54"/>
    </x:row>
    <x:row r="204" ht="42" customHeight="1">
      <x:c r="A204" s="45"/>
      <x:c r="B204" s="45"/>
      <x:c r="C204" s="45"/>
      <x:c r="D204" s="48"/>
      <x:c r="E204" s="48"/>
      <x:c r="F204" s="48"/>
      <x:c r="G204" s="48"/>
      <x:c r="H204" s="48"/>
      <x:c r="I204" s="51" t="str">
        <x:f>IF(H204="未出現",0,IF(H204="部分出現",1,IF(H204="穩定出現",2,"")))</x:f>
      </x:c>
      <x:c r="J204" s="48"/>
      <x:c r="K204" s="48"/>
      <x:c r="L204" s="48"/>
      <x:c r="M204" s="48"/>
      <x:c r="N204" s="48"/>
      <x:c r="O204" s="54"/>
    </x:row>
    <x:row r="205" ht="42" customHeight="1">
      <x:c r="A205" s="45"/>
      <x:c r="B205" s="45"/>
      <x:c r="C205" s="45"/>
      <x:c r="D205" s="48"/>
      <x:c r="E205" s="48"/>
      <x:c r="F205" s="48"/>
      <x:c r="G205" s="48"/>
      <x:c r="H205" s="48"/>
      <x:c r="I205" s="51" t="str">
        <x:f>IF(H205="未出現",0,IF(H205="部分出現",1,IF(H205="穩定出現",2,"")))</x:f>
      </x:c>
      <x:c r="J205" s="48"/>
      <x:c r="K205" s="48"/>
      <x:c r="L205" s="48"/>
      <x:c r="M205" s="48"/>
      <x:c r="N205" s="48"/>
      <x:c r="O205" s="54"/>
    </x:row>
    <x:row r="206" ht="42" customHeight="1">
      <x:c r="A206" s="45"/>
      <x:c r="B206" s="45"/>
      <x:c r="C206" s="45"/>
      <x:c r="D206" s="48"/>
      <x:c r="E206" s="48"/>
      <x:c r="F206" s="48"/>
      <x:c r="G206" s="48"/>
      <x:c r="H206" s="48"/>
      <x:c r="I206" s="51" t="str">
        <x:f>IF(H206="未出現",0,IF(H206="部分出現",1,IF(H206="穩定出現",2,"")))</x:f>
      </x:c>
      <x:c r="J206" s="48"/>
      <x:c r="K206" s="48"/>
      <x:c r="L206" s="48"/>
      <x:c r="M206" s="48"/>
      <x:c r="N206" s="48"/>
      <x:c r="O206" s="54"/>
    </x:row>
    <x:row r="207" ht="42" customHeight="1">
      <x:c r="A207" s="45"/>
      <x:c r="B207" s="45"/>
      <x:c r="C207" s="45"/>
      <x:c r="D207" s="48"/>
      <x:c r="E207" s="48"/>
      <x:c r="F207" s="48"/>
      <x:c r="G207" s="48"/>
      <x:c r="H207" s="48"/>
      <x:c r="I207" s="51" t="str">
        <x:f>IF(H207="未出現",0,IF(H207="部分出現",1,IF(H207="穩定出現",2,"")))</x:f>
      </x:c>
      <x:c r="J207" s="48"/>
      <x:c r="K207" s="48"/>
      <x:c r="L207" s="48"/>
      <x:c r="M207" s="48"/>
      <x:c r="N207" s="48"/>
      <x:c r="O207" s="54"/>
    </x:row>
    <x:row r="208" ht="42" customHeight="1">
      <x:c r="A208" s="45"/>
      <x:c r="B208" s="45"/>
      <x:c r="C208" s="45"/>
      <x:c r="D208" s="48"/>
      <x:c r="E208" s="48"/>
      <x:c r="F208" s="48"/>
      <x:c r="G208" s="48"/>
      <x:c r="H208" s="48"/>
      <x:c r="I208" s="51" t="str">
        <x:f>IF(H208="未出現",0,IF(H208="部分出現",1,IF(H208="穩定出現",2,"")))</x:f>
      </x:c>
      <x:c r="J208" s="48"/>
      <x:c r="K208" s="48"/>
      <x:c r="L208" s="48"/>
      <x:c r="M208" s="48"/>
      <x:c r="N208" s="48"/>
      <x:c r="O208" s="54"/>
    </x:row>
    <x:row r="209" ht="42" customHeight="1">
      <x:c r="A209" s="45"/>
      <x:c r="B209" s="45"/>
      <x:c r="C209" s="45"/>
      <x:c r="D209" s="48"/>
      <x:c r="E209" s="48"/>
      <x:c r="F209" s="48"/>
      <x:c r="G209" s="48"/>
      <x:c r="H209" s="48"/>
      <x:c r="I209" s="51" t="str">
        <x:f>IF(H209="未出現",0,IF(H209="部分出現",1,IF(H209="穩定出現",2,"")))</x:f>
      </x:c>
      <x:c r="J209" s="48"/>
      <x:c r="K209" s="48"/>
      <x:c r="L209" s="48"/>
      <x:c r="M209" s="48"/>
      <x:c r="N209" s="48"/>
      <x:c r="O209" s="54"/>
    </x:row>
    <x:row r="210" ht="42" customHeight="1">
      <x:c r="A210" s="45"/>
      <x:c r="B210" s="45"/>
      <x:c r="C210" s="45"/>
      <x:c r="D210" s="48"/>
      <x:c r="E210" s="48"/>
      <x:c r="F210" s="48"/>
      <x:c r="G210" s="48"/>
      <x:c r="H210" s="48"/>
      <x:c r="I210" s="51" t="str">
        <x:f>IF(H210="未出現",0,IF(H210="部分出現",1,IF(H210="穩定出現",2,"")))</x:f>
      </x:c>
      <x:c r="J210" s="48"/>
      <x:c r="K210" s="48"/>
      <x:c r="L210" s="48"/>
      <x:c r="M210" s="48"/>
      <x:c r="N210" s="48"/>
      <x:c r="O210" s="54"/>
    </x:row>
    <x:row r="211" ht="42" customHeight="1">
      <x:c r="A211" s="45"/>
      <x:c r="B211" s="45"/>
      <x:c r="C211" s="45"/>
      <x:c r="D211" s="48"/>
      <x:c r="E211" s="48"/>
      <x:c r="F211" s="48"/>
      <x:c r="G211" s="48"/>
      <x:c r="H211" s="48"/>
      <x:c r="I211" s="51" t="str">
        <x:f>IF(H211="未出現",0,IF(H211="部分出現",1,IF(H211="穩定出現",2,"")))</x:f>
      </x:c>
      <x:c r="J211" s="48"/>
      <x:c r="K211" s="48"/>
      <x:c r="L211" s="48"/>
      <x:c r="M211" s="48"/>
      <x:c r="N211" s="48"/>
      <x:c r="O211" s="54"/>
    </x:row>
    <x:row r="212" ht="42" customHeight="1">
      <x:c r="A212" s="45"/>
      <x:c r="B212" s="45"/>
      <x:c r="C212" s="45"/>
      <x:c r="D212" s="48"/>
      <x:c r="E212" s="48"/>
      <x:c r="F212" s="48"/>
      <x:c r="G212" s="48"/>
      <x:c r="H212" s="48"/>
      <x:c r="I212" s="51" t="str">
        <x:f>IF(H212="未出現",0,IF(H212="部分出現",1,IF(H212="穩定出現",2,"")))</x:f>
      </x:c>
      <x:c r="J212" s="48"/>
      <x:c r="K212" s="48"/>
      <x:c r="L212" s="48"/>
      <x:c r="M212" s="48"/>
      <x:c r="N212" s="48"/>
      <x:c r="O212" s="54"/>
    </x:row>
    <x:row r="213" ht="42" customHeight="1">
      <x:c r="A213" s="45"/>
      <x:c r="B213" s="45"/>
      <x:c r="C213" s="45"/>
      <x:c r="D213" s="48"/>
      <x:c r="E213" s="48"/>
      <x:c r="F213" s="48"/>
      <x:c r="G213" s="48"/>
      <x:c r="H213" s="48"/>
      <x:c r="I213" s="51" t="str">
        <x:f>IF(H213="未出現",0,IF(H213="部分出現",1,IF(H213="穩定出現",2,"")))</x:f>
      </x:c>
      <x:c r="J213" s="48"/>
      <x:c r="K213" s="48"/>
      <x:c r="L213" s="48"/>
      <x:c r="M213" s="48"/>
      <x:c r="N213" s="48"/>
      <x:c r="O213" s="54"/>
    </x:row>
    <x:row r="214" ht="42" customHeight="1">
      <x:c r="A214" s="45"/>
      <x:c r="B214" s="45"/>
      <x:c r="C214" s="45"/>
      <x:c r="D214" s="48"/>
      <x:c r="E214" s="48"/>
      <x:c r="F214" s="48"/>
      <x:c r="G214" s="48"/>
      <x:c r="H214" s="48"/>
      <x:c r="I214" s="51" t="str">
        <x:f>IF(H214="未出現",0,IF(H214="部分出現",1,IF(H214="穩定出現",2,"")))</x:f>
      </x:c>
      <x:c r="J214" s="48"/>
      <x:c r="K214" s="48"/>
      <x:c r="L214" s="48"/>
      <x:c r="M214" s="48"/>
      <x:c r="N214" s="48"/>
      <x:c r="O214" s="54"/>
    </x:row>
    <x:row r="215" ht="42" customHeight="1">
      <x:c r="A215" s="45"/>
      <x:c r="B215" s="45"/>
      <x:c r="C215" s="45"/>
      <x:c r="D215" s="48"/>
      <x:c r="E215" s="48"/>
      <x:c r="F215" s="48"/>
      <x:c r="G215" s="48"/>
      <x:c r="H215" s="48"/>
      <x:c r="I215" s="51" t="str">
        <x:f>IF(H215="未出現",0,IF(H215="部分出現",1,IF(H215="穩定出現",2,"")))</x:f>
      </x:c>
      <x:c r="J215" s="48"/>
      <x:c r="K215" s="48"/>
      <x:c r="L215" s="48"/>
      <x:c r="M215" s="48"/>
      <x:c r="N215" s="48"/>
      <x:c r="O215" s="54"/>
    </x:row>
    <x:row r="216" ht="42" customHeight="1">
      <x:c r="A216" s="45"/>
      <x:c r="B216" s="45"/>
      <x:c r="C216" s="45"/>
      <x:c r="D216" s="48"/>
      <x:c r="E216" s="48"/>
      <x:c r="F216" s="48"/>
      <x:c r="G216" s="48"/>
      <x:c r="H216" s="48"/>
      <x:c r="I216" s="51" t="str">
        <x:f>IF(H216="未出現",0,IF(H216="部分出現",1,IF(H216="穩定出現",2,"")))</x:f>
      </x:c>
      <x:c r="J216" s="48"/>
      <x:c r="K216" s="48"/>
      <x:c r="L216" s="48"/>
      <x:c r="M216" s="48"/>
      <x:c r="N216" s="48"/>
      <x:c r="O216" s="54"/>
    </x:row>
    <x:row r="217" ht="42" customHeight="1">
      <x:c r="A217" s="45"/>
      <x:c r="B217" s="45"/>
      <x:c r="C217" s="45"/>
      <x:c r="D217" s="48"/>
      <x:c r="E217" s="48"/>
      <x:c r="F217" s="48"/>
      <x:c r="G217" s="48"/>
      <x:c r="H217" s="48"/>
      <x:c r="I217" s="51" t="str">
        <x:f>IF(H217="未出現",0,IF(H217="部分出現",1,IF(H217="穩定出現",2,"")))</x:f>
      </x:c>
      <x:c r="J217" s="48"/>
      <x:c r="K217" s="48"/>
      <x:c r="L217" s="48"/>
      <x:c r="M217" s="48"/>
      <x:c r="N217" s="48"/>
      <x:c r="O217" s="54"/>
    </x:row>
    <x:row r="218" ht="42" customHeight="1">
      <x:c r="A218" s="45"/>
      <x:c r="B218" s="45"/>
      <x:c r="C218" s="45"/>
      <x:c r="D218" s="48"/>
      <x:c r="E218" s="48"/>
      <x:c r="F218" s="48"/>
      <x:c r="G218" s="48"/>
      <x:c r="H218" s="48"/>
      <x:c r="I218" s="51" t="str">
        <x:f>IF(H218="未出現",0,IF(H218="部分出現",1,IF(H218="穩定出現",2,"")))</x:f>
      </x:c>
      <x:c r="J218" s="48"/>
      <x:c r="K218" s="48"/>
      <x:c r="L218" s="48"/>
      <x:c r="M218" s="48"/>
      <x:c r="N218" s="48"/>
      <x:c r="O218" s="54"/>
    </x:row>
    <x:row r="219" ht="42" customHeight="1">
      <x:c r="A219" s="45"/>
      <x:c r="B219" s="45"/>
      <x:c r="C219" s="45"/>
      <x:c r="D219" s="48"/>
      <x:c r="E219" s="48"/>
      <x:c r="F219" s="48"/>
      <x:c r="G219" s="48"/>
      <x:c r="H219" s="48"/>
      <x:c r="I219" s="51" t="str">
        <x:f>IF(H219="未出現",0,IF(H219="部分出現",1,IF(H219="穩定出現",2,"")))</x:f>
      </x:c>
      <x:c r="J219" s="48"/>
      <x:c r="K219" s="48"/>
      <x:c r="L219" s="48"/>
      <x:c r="M219" s="48"/>
      <x:c r="N219" s="48"/>
      <x:c r="O219" s="54"/>
    </x:row>
    <x:row r="220" ht="42" customHeight="1">
      <x:c r="A220" s="45"/>
      <x:c r="B220" s="45"/>
      <x:c r="C220" s="45"/>
      <x:c r="D220" s="48"/>
      <x:c r="E220" s="48"/>
      <x:c r="F220" s="48"/>
      <x:c r="G220" s="48"/>
      <x:c r="H220" s="48"/>
      <x:c r="I220" s="51" t="str">
        <x:f>IF(H220="未出現",0,IF(H220="部分出現",1,IF(H220="穩定出現",2,"")))</x:f>
      </x:c>
      <x:c r="J220" s="48"/>
      <x:c r="K220" s="48"/>
      <x:c r="L220" s="48"/>
      <x:c r="M220" s="48"/>
      <x:c r="N220" s="48"/>
      <x:c r="O220" s="54"/>
    </x:row>
    <x:row r="221" ht="42" customHeight="1">
      <x:c r="A221" s="45"/>
      <x:c r="B221" s="45"/>
      <x:c r="C221" s="45"/>
      <x:c r="D221" s="48"/>
      <x:c r="E221" s="48"/>
      <x:c r="F221" s="48"/>
      <x:c r="G221" s="48"/>
      <x:c r="H221" s="48"/>
      <x:c r="I221" s="51" t="str">
        <x:f>IF(H221="未出現",0,IF(H221="部分出現",1,IF(H221="穩定出現",2,"")))</x:f>
      </x:c>
      <x:c r="J221" s="48"/>
      <x:c r="K221" s="48"/>
      <x:c r="L221" s="48"/>
      <x:c r="M221" s="48"/>
      <x:c r="N221" s="48"/>
      <x:c r="O221" s="54"/>
    </x:row>
    <x:row r="222" ht="42" customHeight="1">
      <x:c r="A222" s="45"/>
      <x:c r="B222" s="45"/>
      <x:c r="C222" s="45"/>
      <x:c r="D222" s="48"/>
      <x:c r="E222" s="48"/>
      <x:c r="F222" s="48"/>
      <x:c r="G222" s="48"/>
      <x:c r="H222" s="48"/>
      <x:c r="I222" s="51" t="str">
        <x:f>IF(H222="未出現",0,IF(H222="部分出現",1,IF(H222="穩定出現",2,"")))</x:f>
      </x:c>
      <x:c r="J222" s="48"/>
      <x:c r="K222" s="48"/>
      <x:c r="L222" s="48"/>
      <x:c r="M222" s="48"/>
      <x:c r="N222" s="48"/>
      <x:c r="O222" s="54"/>
    </x:row>
    <x:row r="223" ht="42" customHeight="1">
      <x:c r="A223" s="45"/>
      <x:c r="B223" s="45"/>
      <x:c r="C223" s="45"/>
      <x:c r="D223" s="48"/>
      <x:c r="E223" s="48"/>
      <x:c r="F223" s="48"/>
      <x:c r="G223" s="48"/>
      <x:c r="H223" s="48"/>
      <x:c r="I223" s="51" t="str">
        <x:f>IF(H223="未出現",0,IF(H223="部分出現",1,IF(H223="穩定出現",2,"")))</x:f>
      </x:c>
      <x:c r="J223" s="48"/>
      <x:c r="K223" s="48"/>
      <x:c r="L223" s="48"/>
      <x:c r="M223" s="48"/>
      <x:c r="N223" s="48"/>
      <x:c r="O223" s="54"/>
    </x:row>
    <x:row r="224" ht="42" customHeight="1">
      <x:c r="A224" s="45"/>
      <x:c r="B224" s="45"/>
      <x:c r="C224" s="45"/>
      <x:c r="D224" s="48"/>
      <x:c r="E224" s="48"/>
      <x:c r="F224" s="48"/>
      <x:c r="G224" s="48"/>
      <x:c r="H224" s="48"/>
      <x:c r="I224" s="51" t="str">
        <x:f>IF(H224="未出現",0,IF(H224="部分出現",1,IF(H224="穩定出現",2,"")))</x:f>
      </x:c>
      <x:c r="J224" s="48"/>
      <x:c r="K224" s="48"/>
      <x:c r="L224" s="48"/>
      <x:c r="M224" s="48"/>
      <x:c r="N224" s="48"/>
      <x:c r="O224" s="54"/>
    </x:row>
    <x:row r="225" ht="42" customHeight="1">
      <x:c r="A225" s="45"/>
      <x:c r="B225" s="45"/>
      <x:c r="C225" s="45"/>
      <x:c r="D225" s="48"/>
      <x:c r="E225" s="48"/>
      <x:c r="F225" s="48"/>
      <x:c r="G225" s="48"/>
      <x:c r="H225" s="48"/>
      <x:c r="I225" s="51" t="str">
        <x:f>IF(H225="未出現",0,IF(H225="部分出現",1,IF(H225="穩定出現",2,"")))</x:f>
      </x:c>
      <x:c r="J225" s="48"/>
      <x:c r="K225" s="48"/>
      <x:c r="L225" s="48"/>
      <x:c r="M225" s="48"/>
      <x:c r="N225" s="48"/>
      <x:c r="O225" s="54"/>
    </x:row>
    <x:row r="226" ht="42" customHeight="1">
      <x:c r="A226" s="45"/>
      <x:c r="B226" s="45"/>
      <x:c r="C226" s="45"/>
      <x:c r="D226" s="48"/>
      <x:c r="E226" s="48"/>
      <x:c r="F226" s="48"/>
      <x:c r="G226" s="48"/>
      <x:c r="H226" s="48"/>
      <x:c r="I226" s="51" t="str">
        <x:f>IF(H226="未出現",0,IF(H226="部分出現",1,IF(H226="穩定出現",2,"")))</x:f>
      </x:c>
      <x:c r="J226" s="48"/>
      <x:c r="K226" s="48"/>
      <x:c r="L226" s="48"/>
      <x:c r="M226" s="48"/>
      <x:c r="N226" s="48"/>
      <x:c r="O226" s="54"/>
    </x:row>
    <x:row r="227" ht="42" customHeight="1">
      <x:c r="A227" s="45"/>
      <x:c r="B227" s="45"/>
      <x:c r="C227" s="45"/>
      <x:c r="D227" s="48"/>
      <x:c r="E227" s="48"/>
      <x:c r="F227" s="48"/>
      <x:c r="G227" s="48"/>
      <x:c r="H227" s="48"/>
      <x:c r="I227" s="51" t="str">
        <x:f>IF(H227="未出現",0,IF(H227="部分出現",1,IF(H227="穩定出現",2,"")))</x:f>
      </x:c>
      <x:c r="J227" s="48"/>
      <x:c r="K227" s="48"/>
      <x:c r="L227" s="48"/>
      <x:c r="M227" s="48"/>
      <x:c r="N227" s="48"/>
      <x:c r="O227" s="54"/>
    </x:row>
    <x:row r="228" ht="42" customHeight="1">
      <x:c r="A228" s="45"/>
      <x:c r="B228" s="45"/>
      <x:c r="C228" s="45"/>
      <x:c r="D228" s="48"/>
      <x:c r="E228" s="48"/>
      <x:c r="F228" s="48"/>
      <x:c r="G228" s="48"/>
      <x:c r="H228" s="48"/>
      <x:c r="I228" s="51" t="str">
        <x:f>IF(H228="未出現",0,IF(H228="部分出現",1,IF(H228="穩定出現",2,"")))</x:f>
      </x:c>
      <x:c r="J228" s="48"/>
      <x:c r="K228" s="48"/>
      <x:c r="L228" s="48"/>
      <x:c r="M228" s="48"/>
      <x:c r="N228" s="48"/>
      <x:c r="O228" s="54"/>
    </x:row>
    <x:row r="229" ht="42" customHeight="1">
      <x:c r="A229" s="45"/>
      <x:c r="B229" s="45"/>
      <x:c r="C229" s="45"/>
      <x:c r="D229" s="48"/>
      <x:c r="E229" s="48"/>
      <x:c r="F229" s="48"/>
      <x:c r="G229" s="48"/>
      <x:c r="H229" s="48"/>
      <x:c r="I229" s="51" t="str">
        <x:f>IF(H229="未出現",0,IF(H229="部分出現",1,IF(H229="穩定出現",2,"")))</x:f>
      </x:c>
      <x:c r="J229" s="48"/>
      <x:c r="K229" s="48"/>
      <x:c r="L229" s="48"/>
      <x:c r="M229" s="48"/>
      <x:c r="N229" s="48"/>
      <x:c r="O229" s="54"/>
    </x:row>
    <x:row r="230" ht="42" customHeight="1">
      <x:c r="A230" s="45"/>
      <x:c r="B230" s="45"/>
      <x:c r="C230" s="45"/>
      <x:c r="D230" s="48"/>
      <x:c r="E230" s="48"/>
      <x:c r="F230" s="48"/>
      <x:c r="G230" s="48"/>
      <x:c r="H230" s="48"/>
      <x:c r="I230" s="51" t="str">
        <x:f>IF(H230="未出現",0,IF(H230="部分出現",1,IF(H230="穩定出現",2,"")))</x:f>
      </x:c>
      <x:c r="J230" s="48"/>
      <x:c r="K230" s="48"/>
      <x:c r="L230" s="48"/>
      <x:c r="M230" s="48"/>
      <x:c r="N230" s="48"/>
      <x:c r="O230" s="54"/>
    </x:row>
    <x:row r="231" ht="42" customHeight="1">
      <x:c r="A231" s="45"/>
      <x:c r="B231" s="45"/>
      <x:c r="C231" s="45"/>
      <x:c r="D231" s="48"/>
      <x:c r="E231" s="48"/>
      <x:c r="F231" s="48"/>
      <x:c r="G231" s="48"/>
      <x:c r="H231" s="48"/>
      <x:c r="I231" s="51" t="str">
        <x:f>IF(H231="未出現",0,IF(H231="部分出現",1,IF(H231="穩定出現",2,"")))</x:f>
      </x:c>
      <x:c r="J231" s="48"/>
      <x:c r="K231" s="48"/>
      <x:c r="L231" s="48"/>
      <x:c r="M231" s="48"/>
      <x:c r="N231" s="48"/>
      <x:c r="O231" s="54"/>
    </x:row>
    <x:row r="232" ht="42" customHeight="1">
      <x:c r="A232" s="45"/>
      <x:c r="B232" s="45"/>
      <x:c r="C232" s="45"/>
      <x:c r="D232" s="48"/>
      <x:c r="E232" s="48"/>
      <x:c r="F232" s="48"/>
      <x:c r="G232" s="48"/>
      <x:c r="H232" s="48"/>
      <x:c r="I232" s="51" t="str">
        <x:f>IF(H232="未出現",0,IF(H232="部分出現",1,IF(H232="穩定出現",2,"")))</x:f>
      </x:c>
      <x:c r="J232" s="48"/>
      <x:c r="K232" s="48"/>
      <x:c r="L232" s="48"/>
      <x:c r="M232" s="48"/>
      <x:c r="N232" s="48"/>
      <x:c r="O232" s="54"/>
    </x:row>
    <x:row r="233" ht="42" customHeight="1">
      <x:c r="A233" s="45"/>
      <x:c r="B233" s="45"/>
      <x:c r="C233" s="45"/>
      <x:c r="D233" s="48"/>
      <x:c r="E233" s="48"/>
      <x:c r="F233" s="48"/>
      <x:c r="G233" s="48"/>
      <x:c r="H233" s="48"/>
      <x:c r="I233" s="51" t="str">
        <x:f>IF(H233="未出現",0,IF(H233="部分出現",1,IF(H233="穩定出現",2,"")))</x:f>
      </x:c>
      <x:c r="J233" s="48"/>
      <x:c r="K233" s="48"/>
      <x:c r="L233" s="48"/>
      <x:c r="M233" s="48"/>
      <x:c r="N233" s="48"/>
      <x:c r="O233" s="54"/>
    </x:row>
    <x:row r="234" ht="42" customHeight="1">
      <x:c r="A234" s="45"/>
      <x:c r="B234" s="45"/>
      <x:c r="C234" s="45"/>
      <x:c r="D234" s="48"/>
      <x:c r="E234" s="48"/>
      <x:c r="F234" s="48"/>
      <x:c r="G234" s="48"/>
      <x:c r="H234" s="48"/>
      <x:c r="I234" s="51" t="str">
        <x:f>IF(H234="未出現",0,IF(H234="部分出現",1,IF(H234="穩定出現",2,"")))</x:f>
      </x:c>
      <x:c r="J234" s="48"/>
      <x:c r="K234" s="48"/>
      <x:c r="L234" s="48"/>
      <x:c r="M234" s="48"/>
      <x:c r="N234" s="48"/>
      <x:c r="O234" s="54"/>
    </x:row>
    <x:row r="235" ht="42" customHeight="1">
      <x:c r="A235" s="45"/>
      <x:c r="B235" s="45"/>
      <x:c r="C235" s="45"/>
      <x:c r="D235" s="48"/>
      <x:c r="E235" s="48"/>
      <x:c r="F235" s="48"/>
      <x:c r="G235" s="48"/>
      <x:c r="H235" s="48"/>
      <x:c r="I235" s="51" t="str">
        <x:f>IF(H235="未出現",0,IF(H235="部分出現",1,IF(H235="穩定出現",2,"")))</x:f>
      </x:c>
      <x:c r="J235" s="48"/>
      <x:c r="K235" s="48"/>
      <x:c r="L235" s="48"/>
      <x:c r="M235" s="48"/>
      <x:c r="N235" s="48"/>
      <x:c r="O235" s="54"/>
    </x:row>
    <x:row r="236" ht="42" customHeight="1">
      <x:c r="A236" s="45"/>
      <x:c r="B236" s="45"/>
      <x:c r="C236" s="45"/>
      <x:c r="D236" s="48"/>
      <x:c r="E236" s="48"/>
      <x:c r="F236" s="48"/>
      <x:c r="G236" s="48"/>
      <x:c r="H236" s="48"/>
      <x:c r="I236" s="51" t="str">
        <x:f>IF(H236="未出現",0,IF(H236="部分出現",1,IF(H236="穩定出現",2,"")))</x:f>
      </x:c>
      <x:c r="J236" s="48"/>
      <x:c r="K236" s="48"/>
      <x:c r="L236" s="48"/>
      <x:c r="M236" s="48"/>
      <x:c r="N236" s="48"/>
      <x:c r="O236" s="54"/>
    </x:row>
    <x:row r="237" ht="42" customHeight="1">
      <x:c r="A237" s="45"/>
      <x:c r="B237" s="45"/>
      <x:c r="C237" s="45"/>
      <x:c r="D237" s="48"/>
      <x:c r="E237" s="48"/>
      <x:c r="F237" s="48"/>
      <x:c r="G237" s="48"/>
      <x:c r="H237" s="48"/>
      <x:c r="I237" s="51" t="str">
        <x:f>IF(H237="未出現",0,IF(H237="部分出現",1,IF(H237="穩定出現",2,"")))</x:f>
      </x:c>
      <x:c r="J237" s="48"/>
      <x:c r="K237" s="48"/>
      <x:c r="L237" s="48"/>
      <x:c r="M237" s="48"/>
      <x:c r="N237" s="48"/>
      <x:c r="O237" s="54"/>
    </x:row>
    <x:row r="238" ht="42" customHeight="1">
      <x:c r="A238" s="45"/>
      <x:c r="B238" s="45"/>
      <x:c r="C238" s="45"/>
      <x:c r="D238" s="48"/>
      <x:c r="E238" s="48"/>
      <x:c r="F238" s="48"/>
      <x:c r="G238" s="48"/>
      <x:c r="H238" s="48"/>
      <x:c r="I238" s="51" t="str">
        <x:f>IF(H238="未出現",0,IF(H238="部分出現",1,IF(H238="穩定出現",2,"")))</x:f>
      </x:c>
      <x:c r="J238" s="48"/>
      <x:c r="K238" s="48"/>
      <x:c r="L238" s="48"/>
      <x:c r="M238" s="48"/>
      <x:c r="N238" s="48"/>
      <x:c r="O238" s="54"/>
    </x:row>
    <x:row r="239" ht="42" customHeight="1">
      <x:c r="A239" s="45"/>
      <x:c r="B239" s="45"/>
      <x:c r="C239" s="45"/>
      <x:c r="D239" s="48"/>
      <x:c r="E239" s="48"/>
      <x:c r="F239" s="48"/>
      <x:c r="G239" s="48"/>
      <x:c r="H239" s="48"/>
      <x:c r="I239" s="51" t="str">
        <x:f>IF(H239="未出現",0,IF(H239="部分出現",1,IF(H239="穩定出現",2,"")))</x:f>
      </x:c>
      <x:c r="J239" s="48"/>
      <x:c r="K239" s="48"/>
      <x:c r="L239" s="48"/>
      <x:c r="M239" s="48"/>
      <x:c r="N239" s="48"/>
      <x:c r="O239" s="54"/>
    </x:row>
    <x:row r="240" ht="42" customHeight="1">
      <x:c r="A240" s="45"/>
      <x:c r="B240" s="45"/>
      <x:c r="C240" s="45"/>
      <x:c r="D240" s="48"/>
      <x:c r="E240" s="48"/>
      <x:c r="F240" s="48"/>
      <x:c r="G240" s="48"/>
      <x:c r="H240" s="48"/>
      <x:c r="I240" s="51" t="str">
        <x:f>IF(H240="未出現",0,IF(H240="部分出現",1,IF(H240="穩定出現",2,"")))</x:f>
      </x:c>
      <x:c r="J240" s="48"/>
      <x:c r="K240" s="48"/>
      <x:c r="L240" s="48"/>
      <x:c r="M240" s="48"/>
      <x:c r="N240" s="48"/>
      <x:c r="O240" s="54"/>
    </x:row>
    <x:row r="241" ht="42" customHeight="1">
      <x:c r="A241" s="45"/>
      <x:c r="B241" s="45"/>
      <x:c r="C241" s="45"/>
      <x:c r="D241" s="48"/>
      <x:c r="E241" s="48"/>
      <x:c r="F241" s="48"/>
      <x:c r="G241" s="48"/>
      <x:c r="H241" s="48"/>
      <x:c r="I241" s="51" t="str">
        <x:f>IF(H241="未出現",0,IF(H241="部分出現",1,IF(H241="穩定出現",2,"")))</x:f>
      </x:c>
      <x:c r="J241" s="48"/>
      <x:c r="K241" s="48"/>
      <x:c r="L241" s="48"/>
      <x:c r="M241" s="48"/>
      <x:c r="N241" s="48"/>
      <x:c r="O241" s="54"/>
    </x:row>
    <x:row r="242" ht="42" customHeight="1">
      <x:c r="A242" s="45"/>
      <x:c r="B242" s="45"/>
      <x:c r="C242" s="45"/>
      <x:c r="D242" s="48"/>
      <x:c r="E242" s="48"/>
      <x:c r="F242" s="48"/>
      <x:c r="G242" s="48"/>
      <x:c r="H242" s="48"/>
      <x:c r="I242" s="51" t="str">
        <x:f>IF(H242="未出現",0,IF(H242="部分出現",1,IF(H242="穩定出現",2,"")))</x:f>
      </x:c>
      <x:c r="J242" s="48"/>
      <x:c r="K242" s="48"/>
      <x:c r="L242" s="48"/>
      <x:c r="M242" s="48"/>
      <x:c r="N242" s="48"/>
      <x:c r="O242" s="54"/>
    </x:row>
    <x:row r="243" ht="42" customHeight="1">
      <x:c r="A243" s="45"/>
      <x:c r="B243" s="45"/>
      <x:c r="C243" s="45"/>
      <x:c r="D243" s="48"/>
      <x:c r="E243" s="48"/>
      <x:c r="F243" s="48"/>
      <x:c r="G243" s="48"/>
      <x:c r="H243" s="48"/>
      <x:c r="I243" s="51" t="str">
        <x:f>IF(H243="未出現",0,IF(H243="部分出現",1,IF(H243="穩定出現",2,"")))</x:f>
      </x:c>
      <x:c r="J243" s="48"/>
      <x:c r="K243" s="48"/>
      <x:c r="L243" s="48"/>
      <x:c r="M243" s="48"/>
      <x:c r="N243" s="48"/>
      <x:c r="O243" s="54"/>
    </x:row>
    <x:row r="244" ht="42" customHeight="1">
      <x:c r="A244" s="45"/>
      <x:c r="B244" s="45"/>
      <x:c r="C244" s="45"/>
      <x:c r="D244" s="48"/>
      <x:c r="E244" s="48"/>
      <x:c r="F244" s="48"/>
      <x:c r="G244" s="48"/>
      <x:c r="H244" s="48"/>
      <x:c r="I244" s="51" t="str">
        <x:f>IF(H244="未出現",0,IF(H244="部分出現",1,IF(H244="穩定出現",2,"")))</x:f>
      </x:c>
      <x:c r="J244" s="48"/>
      <x:c r="K244" s="48"/>
      <x:c r="L244" s="48"/>
      <x:c r="M244" s="48"/>
      <x:c r="N244" s="48"/>
      <x:c r="O244" s="54"/>
    </x:row>
    <x:row r="245" ht="42" customHeight="1">
      <x:c r="A245" s="46"/>
      <x:c r="B245" s="46"/>
      <x:c r="C245" s="46"/>
      <x:c r="D245" s="49"/>
      <x:c r="E245" s="49"/>
      <x:c r="F245" s="49"/>
      <x:c r="G245" s="49"/>
      <x:c r="H245" s="49"/>
      <x:c r="I245" s="52" t="str">
        <x:f>IF(H245="未出現",0,IF(H245="部分出現",1,IF(H245="穩定出現",2,"")))</x:f>
      </x:c>
      <x:c r="J245" s="49"/>
      <x:c r="K245" s="49"/>
      <x:c r="L245" s="49"/>
      <x:c r="M245" s="49"/>
      <x:c r="N245" s="49"/>
      <x:c r="O245" s="55"/>
    </x:row>
  </x:sheetData>
  <x:conditionalFormatting sqref="H6:H245">
    <x:cfRule type="containsText" dxfId="0" priority="1" operator="containsText" text="未出現"/>
    <x:cfRule type="containsText" dxfId="1" priority="2" operator="containsText" text="部分出現"/>
    <x:cfRule type="containsText" dxfId="2" priority="3" operator="containsText" text="穩定出現"/>
  </x:conditionalFormatting>
  <x:conditionalFormatting sqref="J6:J245">
    <x:cfRule type="containsText" dxfId="3" priority="4" operator="containsText" text="高"/>
  </x:conditionalFormatting>
  <x:dataValidations count="5">
    <x:dataValidation type="list" sqref="G6:G245">
      <x:formula1>"課程文件,教學任務,評分準則,學生作品,觀課紀錄,其他"</x:formula1>
    </x:dataValidation>
    <x:dataValidation type="list" sqref="H6:H245">
      <x:formula1>"未檢視,未出現,部分出現,穩定出現"</x:formula1>
    </x:dataValidation>
    <x:dataValidation type="list" sqref="J6:J245">
      <x:formula1>"高,中,低"</x:formula1>
    </x:dataValidation>
    <x:dataValidation type="list" sqref="C6:C245">
      <x:formula1>"P1,P2,P3,P4,P5,P6,S1,S2,S3,S4,S5,S6"</x:formula1>
    </x:dataValidation>
    <x:dataValidation type="list" sqref="D6:D245">
      <x:formula1>"中文,英文,葡文,數學,常識,科學,人文社會,資訊科技,藝術,體育,跨學科,其他"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0b2a6354ed4d67"/>
  </x:tableParts>
</x:worksheet>
</file>

<file path=xl/worksheets/sheet3.xml><?xml version="1.0" encoding="utf-8"?>
<x:worksheet xmlns:x="http://schemas.openxmlformats.org/spreadsheetml/2006/main">
  <x:sheetPr>
    <x:tabColor rgb="FF2D7C6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24" hidden="0" customWidth="1"/>
    <x:col min="5" max="5" width="14" hidden="0" customWidth="1"/>
    <x:col min="6" max="6" width="18" hidden="0" customWidth="1"/>
    <x:col min="7" max="7" width="12" hidden="0" customWidth="1"/>
    <x:col min="8" max="8" width="24" hidden="0" customWidth="1"/>
    <x:col min="9" max="9" width="28" hidden="0" customWidth="1"/>
    <x:col min="10" max="10" width="18" hidden="0" customWidth="1"/>
    <x:col min="11" max="11" width="26" hidden="0" customWidth="1"/>
    <x:col min="12" max="12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評核與學生作品證據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抽樣記錄評核任務與學生作品，支援共同評閱及課程修訂。</x:v>
      </x:c>
      <x:c r="B3" s="2" t="str">
        <x:v>抽樣記錄評核任務與學生作品，支援共同評閱及課程修訂。</x:v>
      </x:c>
      <x:c r="C3" s="2" t="str">
        <x:v>抽樣記錄評核任務與學生作品，支援共同評閱及課程修訂。</x:v>
      </x:c>
      <x:c r="D3" s="2" t="str">
        <x:v>抽樣記錄評核任務與學生作品，支援共同評閱及課程修訂。</x:v>
      </x:c>
      <x:c r="E3" s="2" t="str">
        <x:v>抽樣記錄評核任務與學生作品，支援共同評閱及課程修訂。</x:v>
      </x:c>
      <x:c r="F3" s="2" t="str">
        <x:v>抽樣記錄評核任務與學生作品，支援共同評閱及課程修訂。</x:v>
      </x:c>
      <x:c r="G3" s="2" t="str">
        <x:v>抽樣記錄評核任務與學生作品，支援共同評閱及課程修訂。</x:v>
      </x:c>
      <x:c r="H3" s="2" t="str">
        <x:v>抽樣記錄評核任務與學生作品，支援共同評閱及課程修訂。</x:v>
      </x:c>
      <x:c r="I3" s="2" t="str">
        <x:v>抽樣記錄評核任務與學生作品，支援共同評閱及課程修訂。</x:v>
      </x:c>
      <x:c r="J3" s="2" t="str">
        <x:v>抽樣記錄評核任務與學生作品，支援共同評閱及課程修訂。</x:v>
      </x:c>
      <x:c r="K3" s="2" t="str">
        <x:v>抽樣記錄評核任務與學生作品，支援共同評閱及課程修訂。</x:v>
      </x:c>
      <x:c r="L3" s="2" t="str">
        <x:v>抽樣記錄評核任務與學生作品，支援共同評閱及課程修訂。</x:v>
      </x:c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11" t="str">
        <x:v>記錄編號</x:v>
      </x:c>
      <x:c r="B5" s="25" t="str">
        <x:v>年級</x:v>
      </x:c>
      <x:c r="C5" s="25" t="str">
        <x:v>科組</x:v>
      </x:c>
      <x:c r="D5" s="25" t="str">
        <x:v>單元／任務</x:v>
      </x:c>
      <x:c r="E5" s="25" t="str">
        <x:v>作品代碼</x:v>
      </x:c>
      <x:c r="F5" s="25" t="str">
        <x:v>證據重點</x:v>
      </x:c>
      <x:c r="G5" s="25" t="str">
        <x:v>表現水平</x:v>
      </x:c>
      <x:c r="H5" s="25" t="str">
        <x:v>AI 使用方式</x:v>
      </x:c>
      <x:c r="I5" s="25" t="str">
        <x:v>驗證證據</x:v>
      </x:c>
      <x:c r="J5" s="25" t="str">
        <x:v>共同評閱狀態</x:v>
      </x:c>
      <x:c r="K5" s="25" t="str">
        <x:v>後續行動</x:v>
      </x:c>
      <x:c r="L5" s="12" t="str">
        <x:v>檢視日期</x:v>
      </x:c>
    </x:row>
    <x:row r="6" ht="36" customHeight="1">
      <x:c r="A6" s="44" t="n">
        <x:v>1</x:v>
      </x:c>
      <x:c r="B6" s="47" t="str"/>
      <x:c r="C6" s="47" t="str"/>
      <x:c r="D6" s="47" t="str"/>
      <x:c r="E6" s="47" t="str"/>
      <x:c r="F6" s="47" t="str"/>
      <x:c r="G6" s="47" t="str"/>
      <x:c r="H6" s="47" t="str"/>
      <x:c r="I6" s="47" t="str"/>
      <x:c r="J6" s="47" t="str">
        <x:v>未開始</x:v>
      </x:c>
      <x:c r="K6" s="47" t="str"/>
      <x:c r="L6" s="53"/>
    </x:row>
    <x:row r="7" ht="36" customHeight="1">
      <x:c r="A7" s="45" t="n">
        <x:v>2</x:v>
      </x:c>
      <x:c r="B7" s="48" t="str"/>
      <x:c r="C7" s="48" t="str"/>
      <x:c r="D7" s="48" t="str"/>
      <x:c r="E7" s="48" t="str"/>
      <x:c r="F7" s="48" t="str"/>
      <x:c r="G7" s="48" t="str"/>
      <x:c r="H7" s="48" t="str"/>
      <x:c r="I7" s="48" t="str"/>
      <x:c r="J7" s="48" t="str">
        <x:v>未開始</x:v>
      </x:c>
      <x:c r="K7" s="48" t="str"/>
      <x:c r="L7" s="54"/>
    </x:row>
    <x:row r="8" ht="36" customHeight="1">
      <x:c r="A8" s="45" t="n">
        <x:v>3</x:v>
      </x:c>
      <x:c r="B8" s="48" t="str"/>
      <x:c r="C8" s="48" t="str"/>
      <x:c r="D8" s="48" t="str"/>
      <x:c r="E8" s="48" t="str"/>
      <x:c r="F8" s="48" t="str"/>
      <x:c r="G8" s="48" t="str"/>
      <x:c r="H8" s="48" t="str"/>
      <x:c r="I8" s="48" t="str"/>
      <x:c r="J8" s="48" t="str">
        <x:v>未開始</x:v>
      </x:c>
      <x:c r="K8" s="48" t="str"/>
      <x:c r="L8" s="54"/>
    </x:row>
    <x:row r="9" ht="36" customHeight="1">
      <x:c r="A9" s="45" t="n">
        <x:v>4</x:v>
      </x:c>
      <x:c r="B9" s="48" t="str"/>
      <x:c r="C9" s="48" t="str"/>
      <x:c r="D9" s="48" t="str"/>
      <x:c r="E9" s="48" t="str"/>
      <x:c r="F9" s="48" t="str"/>
      <x:c r="G9" s="48" t="str"/>
      <x:c r="H9" s="48" t="str"/>
      <x:c r="I9" s="48" t="str"/>
      <x:c r="J9" s="48" t="str">
        <x:v>未開始</x:v>
      </x:c>
      <x:c r="K9" s="48" t="str"/>
      <x:c r="L9" s="54"/>
    </x:row>
    <x:row r="10" ht="36" customHeight="1">
      <x:c r="A10" s="45" t="n">
        <x:v>5</x:v>
      </x:c>
      <x:c r="B10" s="48" t="str"/>
      <x:c r="C10" s="48" t="str"/>
      <x:c r="D10" s="48" t="str"/>
      <x:c r="E10" s="48" t="str"/>
      <x:c r="F10" s="48" t="str"/>
      <x:c r="G10" s="48" t="str"/>
      <x:c r="H10" s="48" t="str"/>
      <x:c r="I10" s="48" t="str"/>
      <x:c r="J10" s="48" t="str">
        <x:v>未開始</x:v>
      </x:c>
      <x:c r="K10" s="48" t="str"/>
      <x:c r="L10" s="54"/>
    </x:row>
    <x:row r="11" ht="36" customHeight="1">
      <x:c r="A11" s="45" t="n">
        <x:v>6</x:v>
      </x:c>
      <x:c r="B11" s="48" t="str"/>
      <x:c r="C11" s="48" t="str"/>
      <x:c r="D11" s="48" t="str"/>
      <x:c r="E11" s="48" t="str"/>
      <x:c r="F11" s="48" t="str"/>
      <x:c r="G11" s="48" t="str"/>
      <x:c r="H11" s="48" t="str"/>
      <x:c r="I11" s="48" t="str"/>
      <x:c r="J11" s="48" t="str">
        <x:v>未開始</x:v>
      </x:c>
      <x:c r="K11" s="48" t="str"/>
      <x:c r="L11" s="54"/>
    </x:row>
    <x:row r="12" ht="36" customHeight="1">
      <x:c r="A12" s="45" t="n">
        <x:v>7</x:v>
      </x:c>
      <x:c r="B12" s="48" t="str"/>
      <x:c r="C12" s="48" t="str"/>
      <x:c r="D12" s="48" t="str"/>
      <x:c r="E12" s="48" t="str"/>
      <x:c r="F12" s="48" t="str"/>
      <x:c r="G12" s="48" t="str"/>
      <x:c r="H12" s="48" t="str"/>
      <x:c r="I12" s="48" t="str"/>
      <x:c r="J12" s="48" t="str">
        <x:v>未開始</x:v>
      </x:c>
      <x:c r="K12" s="48" t="str"/>
      <x:c r="L12" s="54"/>
    </x:row>
    <x:row r="13" ht="36" customHeight="1">
      <x:c r="A13" s="45" t="n">
        <x:v>8</x:v>
      </x:c>
      <x:c r="B13" s="48" t="str"/>
      <x:c r="C13" s="48" t="str"/>
      <x:c r="D13" s="48" t="str"/>
      <x:c r="E13" s="48" t="str"/>
      <x:c r="F13" s="48" t="str"/>
      <x:c r="G13" s="48" t="str"/>
      <x:c r="H13" s="48" t="str"/>
      <x:c r="I13" s="48" t="str"/>
      <x:c r="J13" s="48" t="str">
        <x:v>未開始</x:v>
      </x:c>
      <x:c r="K13" s="48" t="str"/>
      <x:c r="L13" s="54"/>
    </x:row>
    <x:row r="14" ht="36" customHeight="1">
      <x:c r="A14" s="45" t="n">
        <x:v>9</x:v>
      </x:c>
      <x:c r="B14" s="48" t="str"/>
      <x:c r="C14" s="48" t="str"/>
      <x:c r="D14" s="48" t="str"/>
      <x:c r="E14" s="48" t="str"/>
      <x:c r="F14" s="48" t="str"/>
      <x:c r="G14" s="48" t="str"/>
      <x:c r="H14" s="48" t="str"/>
      <x:c r="I14" s="48" t="str"/>
      <x:c r="J14" s="48" t="str">
        <x:v>未開始</x:v>
      </x:c>
      <x:c r="K14" s="48" t="str"/>
      <x:c r="L14" s="54"/>
    </x:row>
    <x:row r="15" ht="36" customHeight="1">
      <x:c r="A15" s="45" t="n">
        <x:v>10</x:v>
      </x:c>
      <x:c r="B15" s="48" t="str"/>
      <x:c r="C15" s="48" t="str"/>
      <x:c r="D15" s="48" t="str"/>
      <x:c r="E15" s="48" t="str"/>
      <x:c r="F15" s="48" t="str"/>
      <x:c r="G15" s="48" t="str"/>
      <x:c r="H15" s="48" t="str"/>
      <x:c r="I15" s="48" t="str"/>
      <x:c r="J15" s="48" t="str">
        <x:v>未開始</x:v>
      </x:c>
      <x:c r="K15" s="48" t="str"/>
      <x:c r="L15" s="54"/>
    </x:row>
    <x:row r="16" ht="36" customHeight="1">
      <x:c r="A16" s="45" t="n">
        <x:v>11</x:v>
      </x:c>
      <x:c r="B16" s="48" t="str"/>
      <x:c r="C16" s="48" t="str"/>
      <x:c r="D16" s="48" t="str"/>
      <x:c r="E16" s="48" t="str"/>
      <x:c r="F16" s="48" t="str"/>
      <x:c r="G16" s="48" t="str"/>
      <x:c r="H16" s="48" t="str"/>
      <x:c r="I16" s="48" t="str"/>
      <x:c r="J16" s="48" t="str">
        <x:v>未開始</x:v>
      </x:c>
      <x:c r="K16" s="48" t="str"/>
      <x:c r="L16" s="54"/>
    </x:row>
    <x:row r="17" ht="36" customHeight="1">
      <x:c r="A17" s="45" t="n">
        <x:v>12</x:v>
      </x:c>
      <x:c r="B17" s="48" t="str"/>
      <x:c r="C17" s="48" t="str"/>
      <x:c r="D17" s="48" t="str"/>
      <x:c r="E17" s="48" t="str"/>
      <x:c r="F17" s="48" t="str"/>
      <x:c r="G17" s="48" t="str"/>
      <x:c r="H17" s="48" t="str"/>
      <x:c r="I17" s="48" t="str"/>
      <x:c r="J17" s="48" t="str">
        <x:v>未開始</x:v>
      </x:c>
      <x:c r="K17" s="48" t="str"/>
      <x:c r="L17" s="54"/>
    </x:row>
    <x:row r="18" ht="36" customHeight="1">
      <x:c r="A18" s="45" t="n">
        <x:v>13</x:v>
      </x:c>
      <x:c r="B18" s="48" t="str"/>
      <x:c r="C18" s="48" t="str"/>
      <x:c r="D18" s="48" t="str"/>
      <x:c r="E18" s="48" t="str"/>
      <x:c r="F18" s="48" t="str"/>
      <x:c r="G18" s="48" t="str"/>
      <x:c r="H18" s="48" t="str"/>
      <x:c r="I18" s="48" t="str"/>
      <x:c r="J18" s="48" t="str">
        <x:v>未開始</x:v>
      </x:c>
      <x:c r="K18" s="48" t="str"/>
      <x:c r="L18" s="54"/>
    </x:row>
    <x:row r="19" ht="36" customHeight="1">
      <x:c r="A19" s="45" t="n">
        <x:v>14</x:v>
      </x:c>
      <x:c r="B19" s="48" t="str"/>
      <x:c r="C19" s="48" t="str"/>
      <x:c r="D19" s="48" t="str"/>
      <x:c r="E19" s="48" t="str"/>
      <x:c r="F19" s="48" t="str"/>
      <x:c r="G19" s="48" t="str"/>
      <x:c r="H19" s="48" t="str"/>
      <x:c r="I19" s="48" t="str"/>
      <x:c r="J19" s="48" t="str">
        <x:v>未開始</x:v>
      </x:c>
      <x:c r="K19" s="48" t="str"/>
      <x:c r="L19" s="54"/>
    </x:row>
    <x:row r="20" ht="36" customHeight="1">
      <x:c r="A20" s="45" t="n">
        <x:v>15</x:v>
      </x:c>
      <x:c r="B20" s="48" t="str"/>
      <x:c r="C20" s="48" t="str"/>
      <x:c r="D20" s="48" t="str"/>
      <x:c r="E20" s="48" t="str"/>
      <x:c r="F20" s="48" t="str"/>
      <x:c r="G20" s="48" t="str"/>
      <x:c r="H20" s="48" t="str"/>
      <x:c r="I20" s="48" t="str"/>
      <x:c r="J20" s="48" t="str">
        <x:v>未開始</x:v>
      </x:c>
      <x:c r="K20" s="48" t="str"/>
      <x:c r="L20" s="54"/>
    </x:row>
    <x:row r="21" ht="36" customHeight="1">
      <x:c r="A21" s="45" t="n">
        <x:v>16</x:v>
      </x:c>
      <x:c r="B21" s="48" t="str"/>
      <x:c r="C21" s="48" t="str"/>
      <x:c r="D21" s="48" t="str"/>
      <x:c r="E21" s="48" t="str"/>
      <x:c r="F21" s="48" t="str"/>
      <x:c r="G21" s="48" t="str"/>
      <x:c r="H21" s="48" t="str"/>
      <x:c r="I21" s="48" t="str"/>
      <x:c r="J21" s="48" t="str">
        <x:v>未開始</x:v>
      </x:c>
      <x:c r="K21" s="48" t="str"/>
      <x:c r="L21" s="54"/>
    </x:row>
    <x:row r="22" ht="36" customHeight="1">
      <x:c r="A22" s="45" t="n">
        <x:v>17</x:v>
      </x:c>
      <x:c r="B22" s="48" t="str"/>
      <x:c r="C22" s="48" t="str"/>
      <x:c r="D22" s="48" t="str"/>
      <x:c r="E22" s="48" t="str"/>
      <x:c r="F22" s="48" t="str"/>
      <x:c r="G22" s="48" t="str"/>
      <x:c r="H22" s="48" t="str"/>
      <x:c r="I22" s="48" t="str"/>
      <x:c r="J22" s="48" t="str">
        <x:v>未開始</x:v>
      </x:c>
      <x:c r="K22" s="48" t="str"/>
      <x:c r="L22" s="54"/>
    </x:row>
    <x:row r="23" ht="36" customHeight="1">
      <x:c r="A23" s="45" t="n">
        <x:v>18</x:v>
      </x:c>
      <x:c r="B23" s="48" t="str"/>
      <x:c r="C23" s="48" t="str"/>
      <x:c r="D23" s="48" t="str"/>
      <x:c r="E23" s="48" t="str"/>
      <x:c r="F23" s="48" t="str"/>
      <x:c r="G23" s="48" t="str"/>
      <x:c r="H23" s="48" t="str"/>
      <x:c r="I23" s="48" t="str"/>
      <x:c r="J23" s="48" t="str">
        <x:v>未開始</x:v>
      </x:c>
      <x:c r="K23" s="48" t="str"/>
      <x:c r="L23" s="54"/>
    </x:row>
    <x:row r="24" ht="36" customHeight="1">
      <x:c r="A24" s="45" t="n">
        <x:v>19</x:v>
      </x:c>
      <x:c r="B24" s="48" t="str"/>
      <x:c r="C24" s="48" t="str"/>
      <x:c r="D24" s="48" t="str"/>
      <x:c r="E24" s="48" t="str"/>
      <x:c r="F24" s="48" t="str"/>
      <x:c r="G24" s="48" t="str"/>
      <x:c r="H24" s="48" t="str"/>
      <x:c r="I24" s="48" t="str"/>
      <x:c r="J24" s="48" t="str">
        <x:v>未開始</x:v>
      </x:c>
      <x:c r="K24" s="48" t="str"/>
      <x:c r="L24" s="54"/>
    </x:row>
    <x:row r="25" ht="36" customHeight="1">
      <x:c r="A25" s="45" t="n">
        <x:v>20</x:v>
      </x:c>
      <x:c r="B25" s="48" t="str"/>
      <x:c r="C25" s="48" t="str"/>
      <x:c r="D25" s="48" t="str"/>
      <x:c r="E25" s="48" t="str"/>
      <x:c r="F25" s="48" t="str"/>
      <x:c r="G25" s="48" t="str"/>
      <x:c r="H25" s="48" t="str"/>
      <x:c r="I25" s="48" t="str"/>
      <x:c r="J25" s="48" t="str">
        <x:v>未開始</x:v>
      </x:c>
      <x:c r="K25" s="48" t="str"/>
      <x:c r="L25" s="54"/>
    </x:row>
    <x:row r="26" ht="36" customHeight="1">
      <x:c r="A26" s="45" t="n">
        <x:v>21</x:v>
      </x:c>
      <x:c r="B26" s="48" t="str"/>
      <x:c r="C26" s="48" t="str"/>
      <x:c r="D26" s="48" t="str"/>
      <x:c r="E26" s="48" t="str"/>
      <x:c r="F26" s="48" t="str"/>
      <x:c r="G26" s="48" t="str"/>
      <x:c r="H26" s="48" t="str"/>
      <x:c r="I26" s="48" t="str"/>
      <x:c r="J26" s="48" t="str">
        <x:v>未開始</x:v>
      </x:c>
      <x:c r="K26" s="48" t="str"/>
      <x:c r="L26" s="54"/>
    </x:row>
    <x:row r="27" ht="36" customHeight="1">
      <x:c r="A27" s="45" t="n">
        <x:v>22</x:v>
      </x:c>
      <x:c r="B27" s="48" t="str"/>
      <x:c r="C27" s="48" t="str"/>
      <x:c r="D27" s="48" t="str"/>
      <x:c r="E27" s="48" t="str"/>
      <x:c r="F27" s="48" t="str"/>
      <x:c r="G27" s="48" t="str"/>
      <x:c r="H27" s="48" t="str"/>
      <x:c r="I27" s="48" t="str"/>
      <x:c r="J27" s="48" t="str">
        <x:v>未開始</x:v>
      </x:c>
      <x:c r="K27" s="48" t="str"/>
      <x:c r="L27" s="54"/>
    </x:row>
    <x:row r="28" ht="36" customHeight="1">
      <x:c r="A28" s="45" t="n">
        <x:v>23</x:v>
      </x:c>
      <x:c r="B28" s="48" t="str"/>
      <x:c r="C28" s="48" t="str"/>
      <x:c r="D28" s="48" t="str"/>
      <x:c r="E28" s="48" t="str"/>
      <x:c r="F28" s="48" t="str"/>
      <x:c r="G28" s="48" t="str"/>
      <x:c r="H28" s="48" t="str"/>
      <x:c r="I28" s="48" t="str"/>
      <x:c r="J28" s="48" t="str">
        <x:v>未開始</x:v>
      </x:c>
      <x:c r="K28" s="48" t="str"/>
      <x:c r="L28" s="54"/>
    </x:row>
    <x:row r="29" ht="36" customHeight="1">
      <x:c r="A29" s="45" t="n">
        <x:v>24</x:v>
      </x:c>
      <x:c r="B29" s="48" t="str"/>
      <x:c r="C29" s="48" t="str"/>
      <x:c r="D29" s="48" t="str"/>
      <x:c r="E29" s="48" t="str"/>
      <x:c r="F29" s="48" t="str"/>
      <x:c r="G29" s="48" t="str"/>
      <x:c r="H29" s="48" t="str"/>
      <x:c r="I29" s="48" t="str"/>
      <x:c r="J29" s="48" t="str">
        <x:v>未開始</x:v>
      </x:c>
      <x:c r="K29" s="48" t="str"/>
      <x:c r="L29" s="54"/>
    </x:row>
    <x:row r="30" ht="36" customHeight="1">
      <x:c r="A30" s="45" t="n">
        <x:v>25</x:v>
      </x:c>
      <x:c r="B30" s="48" t="str"/>
      <x:c r="C30" s="48" t="str"/>
      <x:c r="D30" s="48" t="str"/>
      <x:c r="E30" s="48" t="str"/>
      <x:c r="F30" s="48" t="str"/>
      <x:c r="G30" s="48" t="str"/>
      <x:c r="H30" s="48" t="str"/>
      <x:c r="I30" s="48" t="str"/>
      <x:c r="J30" s="48" t="str">
        <x:v>未開始</x:v>
      </x:c>
      <x:c r="K30" s="48" t="str"/>
      <x:c r="L30" s="54"/>
    </x:row>
    <x:row r="31" ht="36" customHeight="1">
      <x:c r="A31" s="45" t="n">
        <x:v>26</x:v>
      </x:c>
      <x:c r="B31" s="48" t="str"/>
      <x:c r="C31" s="48" t="str"/>
      <x:c r="D31" s="48" t="str"/>
      <x:c r="E31" s="48" t="str"/>
      <x:c r="F31" s="48" t="str"/>
      <x:c r="G31" s="48" t="str"/>
      <x:c r="H31" s="48" t="str"/>
      <x:c r="I31" s="48" t="str"/>
      <x:c r="J31" s="48" t="str">
        <x:v>未開始</x:v>
      </x:c>
      <x:c r="K31" s="48" t="str"/>
      <x:c r="L31" s="54"/>
    </x:row>
    <x:row r="32" ht="36" customHeight="1">
      <x:c r="A32" s="45" t="n">
        <x:v>27</x:v>
      </x:c>
      <x:c r="B32" s="48" t="str"/>
      <x:c r="C32" s="48" t="str"/>
      <x:c r="D32" s="48" t="str"/>
      <x:c r="E32" s="48" t="str"/>
      <x:c r="F32" s="48" t="str"/>
      <x:c r="G32" s="48" t="str"/>
      <x:c r="H32" s="48" t="str"/>
      <x:c r="I32" s="48" t="str"/>
      <x:c r="J32" s="48" t="str">
        <x:v>未開始</x:v>
      </x:c>
      <x:c r="K32" s="48" t="str"/>
      <x:c r="L32" s="54"/>
    </x:row>
    <x:row r="33" ht="36" customHeight="1">
      <x:c r="A33" s="45" t="n">
        <x:v>28</x:v>
      </x:c>
      <x:c r="B33" s="48" t="str"/>
      <x:c r="C33" s="48" t="str"/>
      <x:c r="D33" s="48" t="str"/>
      <x:c r="E33" s="48" t="str"/>
      <x:c r="F33" s="48" t="str"/>
      <x:c r="G33" s="48" t="str"/>
      <x:c r="H33" s="48" t="str"/>
      <x:c r="I33" s="48" t="str"/>
      <x:c r="J33" s="48" t="str">
        <x:v>未開始</x:v>
      </x:c>
      <x:c r="K33" s="48" t="str"/>
      <x:c r="L33" s="54"/>
    </x:row>
    <x:row r="34" ht="36" customHeight="1">
      <x:c r="A34" s="45" t="n">
        <x:v>29</x:v>
      </x:c>
      <x:c r="B34" s="48" t="str"/>
      <x:c r="C34" s="48" t="str"/>
      <x:c r="D34" s="48" t="str"/>
      <x:c r="E34" s="48" t="str"/>
      <x:c r="F34" s="48" t="str"/>
      <x:c r="G34" s="48" t="str"/>
      <x:c r="H34" s="48" t="str"/>
      <x:c r="I34" s="48" t="str"/>
      <x:c r="J34" s="48" t="str">
        <x:v>未開始</x:v>
      </x:c>
      <x:c r="K34" s="48" t="str"/>
      <x:c r="L34" s="54"/>
    </x:row>
    <x:row r="35" ht="36" customHeight="1">
      <x:c r="A35" s="45" t="n">
        <x:v>30</x:v>
      </x:c>
      <x:c r="B35" s="48" t="str"/>
      <x:c r="C35" s="48" t="str"/>
      <x:c r="D35" s="48" t="str"/>
      <x:c r="E35" s="48" t="str"/>
      <x:c r="F35" s="48" t="str"/>
      <x:c r="G35" s="48" t="str"/>
      <x:c r="H35" s="48" t="str"/>
      <x:c r="I35" s="48" t="str"/>
      <x:c r="J35" s="48" t="str">
        <x:v>未開始</x:v>
      </x:c>
      <x:c r="K35" s="48" t="str"/>
      <x:c r="L35" s="54"/>
    </x:row>
    <x:row r="36" ht="36" customHeight="1">
      <x:c r="A36" s="45" t="n">
        <x:v>31</x:v>
      </x:c>
      <x:c r="B36" s="48" t="str"/>
      <x:c r="C36" s="48" t="str"/>
      <x:c r="D36" s="48" t="str"/>
      <x:c r="E36" s="48" t="str"/>
      <x:c r="F36" s="48" t="str"/>
      <x:c r="G36" s="48" t="str"/>
      <x:c r="H36" s="48" t="str"/>
      <x:c r="I36" s="48" t="str"/>
      <x:c r="J36" s="48" t="str">
        <x:v>未開始</x:v>
      </x:c>
      <x:c r="K36" s="48" t="str"/>
      <x:c r="L36" s="54"/>
    </x:row>
    <x:row r="37" ht="36" customHeight="1">
      <x:c r="A37" s="45" t="n">
        <x:v>32</x:v>
      </x:c>
      <x:c r="B37" s="48" t="str"/>
      <x:c r="C37" s="48" t="str"/>
      <x:c r="D37" s="48" t="str"/>
      <x:c r="E37" s="48" t="str"/>
      <x:c r="F37" s="48" t="str"/>
      <x:c r="G37" s="48" t="str"/>
      <x:c r="H37" s="48" t="str"/>
      <x:c r="I37" s="48" t="str"/>
      <x:c r="J37" s="48" t="str">
        <x:v>未開始</x:v>
      </x:c>
      <x:c r="K37" s="48" t="str"/>
      <x:c r="L37" s="54"/>
    </x:row>
    <x:row r="38" ht="36" customHeight="1">
      <x:c r="A38" s="45" t="n">
        <x:v>33</x:v>
      </x:c>
      <x:c r="B38" s="48" t="str"/>
      <x:c r="C38" s="48" t="str"/>
      <x:c r="D38" s="48" t="str"/>
      <x:c r="E38" s="48" t="str"/>
      <x:c r="F38" s="48" t="str"/>
      <x:c r="G38" s="48" t="str"/>
      <x:c r="H38" s="48" t="str"/>
      <x:c r="I38" s="48" t="str"/>
      <x:c r="J38" s="48" t="str">
        <x:v>未開始</x:v>
      </x:c>
      <x:c r="K38" s="48" t="str"/>
      <x:c r="L38" s="54"/>
    </x:row>
    <x:row r="39" ht="36" customHeight="1">
      <x:c r="A39" s="45" t="n">
        <x:v>34</x:v>
      </x:c>
      <x:c r="B39" s="48" t="str"/>
      <x:c r="C39" s="48" t="str"/>
      <x:c r="D39" s="48" t="str"/>
      <x:c r="E39" s="48" t="str"/>
      <x:c r="F39" s="48" t="str"/>
      <x:c r="G39" s="48" t="str"/>
      <x:c r="H39" s="48" t="str"/>
      <x:c r="I39" s="48" t="str"/>
      <x:c r="J39" s="48" t="str">
        <x:v>未開始</x:v>
      </x:c>
      <x:c r="K39" s="48" t="str"/>
      <x:c r="L39" s="54"/>
    </x:row>
    <x:row r="40" ht="36" customHeight="1">
      <x:c r="A40" s="45" t="n">
        <x:v>35</x:v>
      </x:c>
      <x:c r="B40" s="48" t="str"/>
      <x:c r="C40" s="48" t="str"/>
      <x:c r="D40" s="48" t="str"/>
      <x:c r="E40" s="48" t="str"/>
      <x:c r="F40" s="48" t="str"/>
      <x:c r="G40" s="48" t="str"/>
      <x:c r="H40" s="48" t="str"/>
      <x:c r="I40" s="48" t="str"/>
      <x:c r="J40" s="48" t="str">
        <x:v>未開始</x:v>
      </x:c>
      <x:c r="K40" s="48" t="str"/>
      <x:c r="L40" s="54"/>
    </x:row>
    <x:row r="41" ht="36" customHeight="1">
      <x:c r="A41" s="45" t="n">
        <x:v>36</x:v>
      </x:c>
      <x:c r="B41" s="48" t="str"/>
      <x:c r="C41" s="48" t="str"/>
      <x:c r="D41" s="48" t="str"/>
      <x:c r="E41" s="48" t="str"/>
      <x:c r="F41" s="48" t="str"/>
      <x:c r="G41" s="48" t="str"/>
      <x:c r="H41" s="48" t="str"/>
      <x:c r="I41" s="48" t="str"/>
      <x:c r="J41" s="48" t="str">
        <x:v>未開始</x:v>
      </x:c>
      <x:c r="K41" s="48" t="str"/>
      <x:c r="L41" s="54"/>
    </x:row>
    <x:row r="42" ht="36" customHeight="1">
      <x:c r="A42" s="45" t="n">
        <x:v>37</x:v>
      </x:c>
      <x:c r="B42" s="48" t="str"/>
      <x:c r="C42" s="48" t="str"/>
      <x:c r="D42" s="48" t="str"/>
      <x:c r="E42" s="48" t="str"/>
      <x:c r="F42" s="48" t="str"/>
      <x:c r="G42" s="48" t="str"/>
      <x:c r="H42" s="48" t="str"/>
      <x:c r="I42" s="48" t="str"/>
      <x:c r="J42" s="48" t="str">
        <x:v>未開始</x:v>
      </x:c>
      <x:c r="K42" s="48" t="str"/>
      <x:c r="L42" s="54"/>
    </x:row>
    <x:row r="43" ht="36" customHeight="1">
      <x:c r="A43" s="45" t="n">
        <x:v>38</x:v>
      </x:c>
      <x:c r="B43" s="48" t="str"/>
      <x:c r="C43" s="48" t="str"/>
      <x:c r="D43" s="48" t="str"/>
      <x:c r="E43" s="48" t="str"/>
      <x:c r="F43" s="48" t="str"/>
      <x:c r="G43" s="48" t="str"/>
      <x:c r="H43" s="48" t="str"/>
      <x:c r="I43" s="48" t="str"/>
      <x:c r="J43" s="48" t="str">
        <x:v>未開始</x:v>
      </x:c>
      <x:c r="K43" s="48" t="str"/>
      <x:c r="L43" s="54"/>
    </x:row>
    <x:row r="44" ht="36" customHeight="1">
      <x:c r="A44" s="45" t="n">
        <x:v>39</x:v>
      </x:c>
      <x:c r="B44" s="48" t="str"/>
      <x:c r="C44" s="48" t="str"/>
      <x:c r="D44" s="48" t="str"/>
      <x:c r="E44" s="48" t="str"/>
      <x:c r="F44" s="48" t="str"/>
      <x:c r="G44" s="48" t="str"/>
      <x:c r="H44" s="48" t="str"/>
      <x:c r="I44" s="48" t="str"/>
      <x:c r="J44" s="48" t="str">
        <x:v>未開始</x:v>
      </x:c>
      <x:c r="K44" s="48" t="str"/>
      <x:c r="L44" s="54"/>
    </x:row>
    <x:row r="45" ht="36" customHeight="1">
      <x:c r="A45" s="45" t="n">
        <x:v>40</x:v>
      </x:c>
      <x:c r="B45" s="48" t="str"/>
      <x:c r="C45" s="48" t="str"/>
      <x:c r="D45" s="48" t="str"/>
      <x:c r="E45" s="48" t="str"/>
      <x:c r="F45" s="48" t="str"/>
      <x:c r="G45" s="48" t="str"/>
      <x:c r="H45" s="48" t="str"/>
      <x:c r="I45" s="48" t="str"/>
      <x:c r="J45" s="48" t="str">
        <x:v>未開始</x:v>
      </x:c>
      <x:c r="K45" s="48" t="str"/>
      <x:c r="L45" s="54"/>
    </x:row>
    <x:row r="46" ht="36" customHeight="1">
      <x:c r="A46" s="45" t="n">
        <x:v>41</x:v>
      </x:c>
      <x:c r="B46" s="48" t="str"/>
      <x:c r="C46" s="48" t="str"/>
      <x:c r="D46" s="48" t="str"/>
      <x:c r="E46" s="48" t="str"/>
      <x:c r="F46" s="48" t="str"/>
      <x:c r="G46" s="48" t="str"/>
      <x:c r="H46" s="48" t="str"/>
      <x:c r="I46" s="48" t="str"/>
      <x:c r="J46" s="48" t="str">
        <x:v>未開始</x:v>
      </x:c>
      <x:c r="K46" s="48" t="str"/>
      <x:c r="L46" s="54"/>
    </x:row>
    <x:row r="47" ht="36" customHeight="1">
      <x:c r="A47" s="45" t="n">
        <x:v>42</x:v>
      </x:c>
      <x:c r="B47" s="48" t="str"/>
      <x:c r="C47" s="48" t="str"/>
      <x:c r="D47" s="48" t="str"/>
      <x:c r="E47" s="48" t="str"/>
      <x:c r="F47" s="48" t="str"/>
      <x:c r="G47" s="48" t="str"/>
      <x:c r="H47" s="48" t="str"/>
      <x:c r="I47" s="48" t="str"/>
      <x:c r="J47" s="48" t="str">
        <x:v>未開始</x:v>
      </x:c>
      <x:c r="K47" s="48" t="str"/>
      <x:c r="L47" s="54"/>
    </x:row>
    <x:row r="48" ht="36" customHeight="1">
      <x:c r="A48" s="45" t="n">
        <x:v>43</x:v>
      </x:c>
      <x:c r="B48" s="48" t="str"/>
      <x:c r="C48" s="48" t="str"/>
      <x:c r="D48" s="48" t="str"/>
      <x:c r="E48" s="48" t="str"/>
      <x:c r="F48" s="48" t="str"/>
      <x:c r="G48" s="48" t="str"/>
      <x:c r="H48" s="48" t="str"/>
      <x:c r="I48" s="48" t="str"/>
      <x:c r="J48" s="48" t="str">
        <x:v>未開始</x:v>
      </x:c>
      <x:c r="K48" s="48" t="str"/>
      <x:c r="L48" s="54"/>
    </x:row>
    <x:row r="49" ht="36" customHeight="1">
      <x:c r="A49" s="45" t="n">
        <x:v>44</x:v>
      </x:c>
      <x:c r="B49" s="48" t="str"/>
      <x:c r="C49" s="48" t="str"/>
      <x:c r="D49" s="48" t="str"/>
      <x:c r="E49" s="48" t="str"/>
      <x:c r="F49" s="48" t="str"/>
      <x:c r="G49" s="48" t="str"/>
      <x:c r="H49" s="48" t="str"/>
      <x:c r="I49" s="48" t="str"/>
      <x:c r="J49" s="48" t="str">
        <x:v>未開始</x:v>
      </x:c>
      <x:c r="K49" s="48" t="str"/>
      <x:c r="L49" s="54"/>
    </x:row>
    <x:row r="50" ht="36" customHeight="1">
      <x:c r="A50" s="45" t="n">
        <x:v>45</x:v>
      </x:c>
      <x:c r="B50" s="48" t="str"/>
      <x:c r="C50" s="48" t="str"/>
      <x:c r="D50" s="48" t="str"/>
      <x:c r="E50" s="48" t="str"/>
      <x:c r="F50" s="48" t="str"/>
      <x:c r="G50" s="48" t="str"/>
      <x:c r="H50" s="48" t="str"/>
      <x:c r="I50" s="48" t="str"/>
      <x:c r="J50" s="48" t="str">
        <x:v>未開始</x:v>
      </x:c>
      <x:c r="K50" s="48" t="str"/>
      <x:c r="L50" s="54"/>
    </x:row>
    <x:row r="51" ht="36" customHeight="1">
      <x:c r="A51" s="45" t="n">
        <x:v>46</x:v>
      </x:c>
      <x:c r="B51" s="48" t="str"/>
      <x:c r="C51" s="48" t="str"/>
      <x:c r="D51" s="48" t="str"/>
      <x:c r="E51" s="48" t="str"/>
      <x:c r="F51" s="48" t="str"/>
      <x:c r="G51" s="48" t="str"/>
      <x:c r="H51" s="48" t="str"/>
      <x:c r="I51" s="48" t="str"/>
      <x:c r="J51" s="48" t="str">
        <x:v>未開始</x:v>
      </x:c>
      <x:c r="K51" s="48" t="str"/>
      <x:c r="L51" s="54"/>
    </x:row>
    <x:row r="52" ht="36" customHeight="1">
      <x:c r="A52" s="45" t="n">
        <x:v>47</x:v>
      </x:c>
      <x:c r="B52" s="48" t="str"/>
      <x:c r="C52" s="48" t="str"/>
      <x:c r="D52" s="48" t="str"/>
      <x:c r="E52" s="48" t="str"/>
      <x:c r="F52" s="48" t="str"/>
      <x:c r="G52" s="48" t="str"/>
      <x:c r="H52" s="48" t="str"/>
      <x:c r="I52" s="48" t="str"/>
      <x:c r="J52" s="48" t="str">
        <x:v>未開始</x:v>
      </x:c>
      <x:c r="K52" s="48" t="str"/>
      <x:c r="L52" s="54"/>
    </x:row>
    <x:row r="53" ht="36" customHeight="1">
      <x:c r="A53" s="45" t="n">
        <x:v>48</x:v>
      </x:c>
      <x:c r="B53" s="48" t="str"/>
      <x:c r="C53" s="48" t="str"/>
      <x:c r="D53" s="48" t="str"/>
      <x:c r="E53" s="48" t="str"/>
      <x:c r="F53" s="48" t="str"/>
      <x:c r="G53" s="48" t="str"/>
      <x:c r="H53" s="48" t="str"/>
      <x:c r="I53" s="48" t="str"/>
      <x:c r="J53" s="48" t="str">
        <x:v>未開始</x:v>
      </x:c>
      <x:c r="K53" s="48" t="str"/>
      <x:c r="L53" s="54"/>
    </x:row>
    <x:row r="54" ht="36" customHeight="1">
      <x:c r="A54" s="45" t="n">
        <x:v>49</x:v>
      </x:c>
      <x:c r="B54" s="48" t="str"/>
      <x:c r="C54" s="48" t="str"/>
      <x:c r="D54" s="48" t="str"/>
      <x:c r="E54" s="48" t="str"/>
      <x:c r="F54" s="48" t="str"/>
      <x:c r="G54" s="48" t="str"/>
      <x:c r="H54" s="48" t="str"/>
      <x:c r="I54" s="48" t="str"/>
      <x:c r="J54" s="48" t="str">
        <x:v>未開始</x:v>
      </x:c>
      <x:c r="K54" s="48" t="str"/>
      <x:c r="L54" s="54"/>
    </x:row>
    <x:row r="55" ht="36" customHeight="1">
      <x:c r="A55" s="45" t="n">
        <x:v>50</x:v>
      </x:c>
      <x:c r="B55" s="48" t="str"/>
      <x:c r="C55" s="48" t="str"/>
      <x:c r="D55" s="48" t="str"/>
      <x:c r="E55" s="48" t="str"/>
      <x:c r="F55" s="48" t="str"/>
      <x:c r="G55" s="48" t="str"/>
      <x:c r="H55" s="48" t="str"/>
      <x:c r="I55" s="48" t="str"/>
      <x:c r="J55" s="48" t="str">
        <x:v>未開始</x:v>
      </x:c>
      <x:c r="K55" s="48" t="str"/>
      <x:c r="L55" s="54"/>
    </x:row>
    <x:row r="56" ht="36" customHeight="1">
      <x:c r="A56" s="45" t="n">
        <x:v>51</x:v>
      </x:c>
      <x:c r="B56" s="48" t="str"/>
      <x:c r="C56" s="48" t="str"/>
      <x:c r="D56" s="48" t="str"/>
      <x:c r="E56" s="48" t="str"/>
      <x:c r="F56" s="48" t="str"/>
      <x:c r="G56" s="48" t="str"/>
      <x:c r="H56" s="48" t="str"/>
      <x:c r="I56" s="48" t="str"/>
      <x:c r="J56" s="48" t="str">
        <x:v>未開始</x:v>
      </x:c>
      <x:c r="K56" s="48" t="str"/>
      <x:c r="L56" s="54"/>
    </x:row>
    <x:row r="57" ht="36" customHeight="1">
      <x:c r="A57" s="45" t="n">
        <x:v>52</x:v>
      </x:c>
      <x:c r="B57" s="48" t="str"/>
      <x:c r="C57" s="48" t="str"/>
      <x:c r="D57" s="48" t="str"/>
      <x:c r="E57" s="48" t="str"/>
      <x:c r="F57" s="48" t="str"/>
      <x:c r="G57" s="48" t="str"/>
      <x:c r="H57" s="48" t="str"/>
      <x:c r="I57" s="48" t="str"/>
      <x:c r="J57" s="48" t="str">
        <x:v>未開始</x:v>
      </x:c>
      <x:c r="K57" s="48" t="str"/>
      <x:c r="L57" s="54"/>
    </x:row>
    <x:row r="58" ht="36" customHeight="1">
      <x:c r="A58" s="45" t="n">
        <x:v>53</x:v>
      </x:c>
      <x:c r="B58" s="48" t="str"/>
      <x:c r="C58" s="48" t="str"/>
      <x:c r="D58" s="48" t="str"/>
      <x:c r="E58" s="48" t="str"/>
      <x:c r="F58" s="48" t="str"/>
      <x:c r="G58" s="48" t="str"/>
      <x:c r="H58" s="48" t="str"/>
      <x:c r="I58" s="48" t="str"/>
      <x:c r="J58" s="48" t="str">
        <x:v>未開始</x:v>
      </x:c>
      <x:c r="K58" s="48" t="str"/>
      <x:c r="L58" s="54"/>
    </x:row>
    <x:row r="59" ht="36" customHeight="1">
      <x:c r="A59" s="45" t="n">
        <x:v>54</x:v>
      </x:c>
      <x:c r="B59" s="48" t="str"/>
      <x:c r="C59" s="48" t="str"/>
      <x:c r="D59" s="48" t="str"/>
      <x:c r="E59" s="48" t="str"/>
      <x:c r="F59" s="48" t="str"/>
      <x:c r="G59" s="48" t="str"/>
      <x:c r="H59" s="48" t="str"/>
      <x:c r="I59" s="48" t="str"/>
      <x:c r="J59" s="48" t="str">
        <x:v>未開始</x:v>
      </x:c>
      <x:c r="K59" s="48" t="str"/>
      <x:c r="L59" s="54"/>
    </x:row>
    <x:row r="60" ht="36" customHeight="1">
      <x:c r="A60" s="45" t="n">
        <x:v>55</x:v>
      </x:c>
      <x:c r="B60" s="48" t="str"/>
      <x:c r="C60" s="48" t="str"/>
      <x:c r="D60" s="48" t="str"/>
      <x:c r="E60" s="48" t="str"/>
      <x:c r="F60" s="48" t="str"/>
      <x:c r="G60" s="48" t="str"/>
      <x:c r="H60" s="48" t="str"/>
      <x:c r="I60" s="48" t="str"/>
      <x:c r="J60" s="48" t="str">
        <x:v>未開始</x:v>
      </x:c>
      <x:c r="K60" s="48" t="str"/>
      <x:c r="L60" s="54"/>
    </x:row>
    <x:row r="61" ht="36" customHeight="1">
      <x:c r="A61" s="45" t="n">
        <x:v>56</x:v>
      </x:c>
      <x:c r="B61" s="48" t="str"/>
      <x:c r="C61" s="48" t="str"/>
      <x:c r="D61" s="48" t="str"/>
      <x:c r="E61" s="48" t="str"/>
      <x:c r="F61" s="48" t="str"/>
      <x:c r="G61" s="48" t="str"/>
      <x:c r="H61" s="48" t="str"/>
      <x:c r="I61" s="48" t="str"/>
      <x:c r="J61" s="48" t="str">
        <x:v>未開始</x:v>
      </x:c>
      <x:c r="K61" s="48" t="str"/>
      <x:c r="L61" s="54"/>
    </x:row>
    <x:row r="62" ht="36" customHeight="1">
      <x:c r="A62" s="45" t="n">
        <x:v>57</x:v>
      </x:c>
      <x:c r="B62" s="48" t="str"/>
      <x:c r="C62" s="48" t="str"/>
      <x:c r="D62" s="48" t="str"/>
      <x:c r="E62" s="48" t="str"/>
      <x:c r="F62" s="48" t="str"/>
      <x:c r="G62" s="48" t="str"/>
      <x:c r="H62" s="48" t="str"/>
      <x:c r="I62" s="48" t="str"/>
      <x:c r="J62" s="48" t="str">
        <x:v>未開始</x:v>
      </x:c>
      <x:c r="K62" s="48" t="str"/>
      <x:c r="L62" s="54"/>
    </x:row>
    <x:row r="63" ht="36" customHeight="1">
      <x:c r="A63" s="45" t="n">
        <x:v>58</x:v>
      </x:c>
      <x:c r="B63" s="48" t="str"/>
      <x:c r="C63" s="48" t="str"/>
      <x:c r="D63" s="48" t="str"/>
      <x:c r="E63" s="48" t="str"/>
      <x:c r="F63" s="48" t="str"/>
      <x:c r="G63" s="48" t="str"/>
      <x:c r="H63" s="48" t="str"/>
      <x:c r="I63" s="48" t="str"/>
      <x:c r="J63" s="48" t="str">
        <x:v>未開始</x:v>
      </x:c>
      <x:c r="K63" s="48" t="str"/>
      <x:c r="L63" s="54"/>
    </x:row>
    <x:row r="64" ht="36" customHeight="1">
      <x:c r="A64" s="45" t="n">
        <x:v>59</x:v>
      </x:c>
      <x:c r="B64" s="48" t="str"/>
      <x:c r="C64" s="48" t="str"/>
      <x:c r="D64" s="48" t="str"/>
      <x:c r="E64" s="48" t="str"/>
      <x:c r="F64" s="48" t="str"/>
      <x:c r="G64" s="48" t="str"/>
      <x:c r="H64" s="48" t="str"/>
      <x:c r="I64" s="48" t="str"/>
      <x:c r="J64" s="48" t="str">
        <x:v>未開始</x:v>
      </x:c>
      <x:c r="K64" s="48" t="str"/>
      <x:c r="L64" s="54"/>
    </x:row>
    <x:row r="65" ht="36" customHeight="1">
      <x:c r="A65" s="45" t="n">
        <x:v>60</x:v>
      </x:c>
      <x:c r="B65" s="48" t="str"/>
      <x:c r="C65" s="48" t="str"/>
      <x:c r="D65" s="48" t="str"/>
      <x:c r="E65" s="48" t="str"/>
      <x:c r="F65" s="48" t="str"/>
      <x:c r="G65" s="48" t="str"/>
      <x:c r="H65" s="48" t="str"/>
      <x:c r="I65" s="48" t="str"/>
      <x:c r="J65" s="48" t="str">
        <x:v>未開始</x:v>
      </x:c>
      <x:c r="K65" s="48" t="str"/>
      <x:c r="L65" s="54"/>
    </x:row>
    <x:row r="66" ht="36" customHeight="1">
      <x:c r="A66" s="45" t="n">
        <x:v>61</x:v>
      </x:c>
      <x:c r="B66" s="48" t="str"/>
      <x:c r="C66" s="48" t="str"/>
      <x:c r="D66" s="48" t="str"/>
      <x:c r="E66" s="48" t="str"/>
      <x:c r="F66" s="48" t="str"/>
      <x:c r="G66" s="48" t="str"/>
      <x:c r="H66" s="48" t="str"/>
      <x:c r="I66" s="48" t="str"/>
      <x:c r="J66" s="48" t="str">
        <x:v>未開始</x:v>
      </x:c>
      <x:c r="K66" s="48" t="str"/>
      <x:c r="L66" s="54"/>
    </x:row>
    <x:row r="67" ht="36" customHeight="1">
      <x:c r="A67" s="45" t="n">
        <x:v>62</x:v>
      </x:c>
      <x:c r="B67" s="48" t="str"/>
      <x:c r="C67" s="48" t="str"/>
      <x:c r="D67" s="48" t="str"/>
      <x:c r="E67" s="48" t="str"/>
      <x:c r="F67" s="48" t="str"/>
      <x:c r="G67" s="48" t="str"/>
      <x:c r="H67" s="48" t="str"/>
      <x:c r="I67" s="48" t="str"/>
      <x:c r="J67" s="48" t="str">
        <x:v>未開始</x:v>
      </x:c>
      <x:c r="K67" s="48" t="str"/>
      <x:c r="L67" s="54"/>
    </x:row>
    <x:row r="68" ht="36" customHeight="1">
      <x:c r="A68" s="45" t="n">
        <x:v>63</x:v>
      </x:c>
      <x:c r="B68" s="48" t="str"/>
      <x:c r="C68" s="48" t="str"/>
      <x:c r="D68" s="48" t="str"/>
      <x:c r="E68" s="48" t="str"/>
      <x:c r="F68" s="48" t="str"/>
      <x:c r="G68" s="48" t="str"/>
      <x:c r="H68" s="48" t="str"/>
      <x:c r="I68" s="48" t="str"/>
      <x:c r="J68" s="48" t="str">
        <x:v>未開始</x:v>
      </x:c>
      <x:c r="K68" s="48" t="str"/>
      <x:c r="L68" s="54"/>
    </x:row>
    <x:row r="69" ht="36" customHeight="1">
      <x:c r="A69" s="45" t="n">
        <x:v>64</x:v>
      </x:c>
      <x:c r="B69" s="48" t="str"/>
      <x:c r="C69" s="48" t="str"/>
      <x:c r="D69" s="48" t="str"/>
      <x:c r="E69" s="48" t="str"/>
      <x:c r="F69" s="48" t="str"/>
      <x:c r="G69" s="48" t="str"/>
      <x:c r="H69" s="48" t="str"/>
      <x:c r="I69" s="48" t="str"/>
      <x:c r="J69" s="48" t="str">
        <x:v>未開始</x:v>
      </x:c>
      <x:c r="K69" s="48" t="str"/>
      <x:c r="L69" s="54"/>
    </x:row>
    <x:row r="70" ht="36" customHeight="1">
      <x:c r="A70" s="45" t="n">
        <x:v>65</x:v>
      </x:c>
      <x:c r="B70" s="48" t="str"/>
      <x:c r="C70" s="48" t="str"/>
      <x:c r="D70" s="48" t="str"/>
      <x:c r="E70" s="48" t="str"/>
      <x:c r="F70" s="48" t="str"/>
      <x:c r="G70" s="48" t="str"/>
      <x:c r="H70" s="48" t="str"/>
      <x:c r="I70" s="48" t="str"/>
      <x:c r="J70" s="48" t="str">
        <x:v>未開始</x:v>
      </x:c>
      <x:c r="K70" s="48" t="str"/>
      <x:c r="L70" s="54"/>
    </x:row>
    <x:row r="71" ht="36" customHeight="1">
      <x:c r="A71" s="45" t="n">
        <x:v>66</x:v>
      </x:c>
      <x:c r="B71" s="48" t="str"/>
      <x:c r="C71" s="48" t="str"/>
      <x:c r="D71" s="48" t="str"/>
      <x:c r="E71" s="48" t="str"/>
      <x:c r="F71" s="48" t="str"/>
      <x:c r="G71" s="48" t="str"/>
      <x:c r="H71" s="48" t="str"/>
      <x:c r="I71" s="48" t="str"/>
      <x:c r="J71" s="48" t="str">
        <x:v>未開始</x:v>
      </x:c>
      <x:c r="K71" s="48" t="str"/>
      <x:c r="L71" s="54"/>
    </x:row>
    <x:row r="72" ht="36" customHeight="1">
      <x:c r="A72" s="45" t="n">
        <x:v>67</x:v>
      </x:c>
      <x:c r="B72" s="48" t="str"/>
      <x:c r="C72" s="48" t="str"/>
      <x:c r="D72" s="48" t="str"/>
      <x:c r="E72" s="48" t="str"/>
      <x:c r="F72" s="48" t="str"/>
      <x:c r="G72" s="48" t="str"/>
      <x:c r="H72" s="48" t="str"/>
      <x:c r="I72" s="48" t="str"/>
      <x:c r="J72" s="48" t="str">
        <x:v>未開始</x:v>
      </x:c>
      <x:c r="K72" s="48" t="str"/>
      <x:c r="L72" s="54"/>
    </x:row>
    <x:row r="73" ht="36" customHeight="1">
      <x:c r="A73" s="45" t="n">
        <x:v>68</x:v>
      </x:c>
      <x:c r="B73" s="48" t="str"/>
      <x:c r="C73" s="48" t="str"/>
      <x:c r="D73" s="48" t="str"/>
      <x:c r="E73" s="48" t="str"/>
      <x:c r="F73" s="48" t="str"/>
      <x:c r="G73" s="48" t="str"/>
      <x:c r="H73" s="48" t="str"/>
      <x:c r="I73" s="48" t="str"/>
      <x:c r="J73" s="48" t="str">
        <x:v>未開始</x:v>
      </x:c>
      <x:c r="K73" s="48" t="str"/>
      <x:c r="L73" s="54"/>
    </x:row>
    <x:row r="74" ht="36" customHeight="1">
      <x:c r="A74" s="45" t="n">
        <x:v>69</x:v>
      </x:c>
      <x:c r="B74" s="48" t="str"/>
      <x:c r="C74" s="48" t="str"/>
      <x:c r="D74" s="48" t="str"/>
      <x:c r="E74" s="48" t="str"/>
      <x:c r="F74" s="48" t="str"/>
      <x:c r="G74" s="48" t="str"/>
      <x:c r="H74" s="48" t="str"/>
      <x:c r="I74" s="48" t="str"/>
      <x:c r="J74" s="48" t="str">
        <x:v>未開始</x:v>
      </x:c>
      <x:c r="K74" s="48" t="str"/>
      <x:c r="L74" s="54"/>
    </x:row>
    <x:row r="75" ht="36" customHeight="1">
      <x:c r="A75" s="45" t="n">
        <x:v>70</x:v>
      </x:c>
      <x:c r="B75" s="48" t="str"/>
      <x:c r="C75" s="48" t="str"/>
      <x:c r="D75" s="48" t="str"/>
      <x:c r="E75" s="48" t="str"/>
      <x:c r="F75" s="48" t="str"/>
      <x:c r="G75" s="48" t="str"/>
      <x:c r="H75" s="48" t="str"/>
      <x:c r="I75" s="48" t="str"/>
      <x:c r="J75" s="48" t="str">
        <x:v>未開始</x:v>
      </x:c>
      <x:c r="K75" s="48" t="str"/>
      <x:c r="L75" s="54"/>
    </x:row>
    <x:row r="76" ht="36" customHeight="1">
      <x:c r="A76" s="45" t="n">
        <x:v>71</x:v>
      </x:c>
      <x:c r="B76" s="48" t="str"/>
      <x:c r="C76" s="48" t="str"/>
      <x:c r="D76" s="48" t="str"/>
      <x:c r="E76" s="48" t="str"/>
      <x:c r="F76" s="48" t="str"/>
      <x:c r="G76" s="48" t="str"/>
      <x:c r="H76" s="48" t="str"/>
      <x:c r="I76" s="48" t="str"/>
      <x:c r="J76" s="48" t="str">
        <x:v>未開始</x:v>
      </x:c>
      <x:c r="K76" s="48" t="str"/>
      <x:c r="L76" s="54"/>
    </x:row>
    <x:row r="77" ht="36" customHeight="1">
      <x:c r="A77" s="45" t="n">
        <x:v>72</x:v>
      </x:c>
      <x:c r="B77" s="48" t="str"/>
      <x:c r="C77" s="48" t="str"/>
      <x:c r="D77" s="48" t="str"/>
      <x:c r="E77" s="48" t="str"/>
      <x:c r="F77" s="48" t="str"/>
      <x:c r="G77" s="48" t="str"/>
      <x:c r="H77" s="48" t="str"/>
      <x:c r="I77" s="48" t="str"/>
      <x:c r="J77" s="48" t="str">
        <x:v>未開始</x:v>
      </x:c>
      <x:c r="K77" s="48" t="str"/>
      <x:c r="L77" s="54"/>
    </x:row>
    <x:row r="78" ht="36" customHeight="1">
      <x:c r="A78" s="45" t="n">
        <x:v>73</x:v>
      </x:c>
      <x:c r="B78" s="48" t="str"/>
      <x:c r="C78" s="48" t="str"/>
      <x:c r="D78" s="48" t="str"/>
      <x:c r="E78" s="48" t="str"/>
      <x:c r="F78" s="48" t="str"/>
      <x:c r="G78" s="48" t="str"/>
      <x:c r="H78" s="48" t="str"/>
      <x:c r="I78" s="48" t="str"/>
      <x:c r="J78" s="48" t="str">
        <x:v>未開始</x:v>
      </x:c>
      <x:c r="K78" s="48" t="str"/>
      <x:c r="L78" s="54"/>
    </x:row>
    <x:row r="79" ht="36" customHeight="1">
      <x:c r="A79" s="45" t="n">
        <x:v>74</x:v>
      </x:c>
      <x:c r="B79" s="48" t="str"/>
      <x:c r="C79" s="48" t="str"/>
      <x:c r="D79" s="48" t="str"/>
      <x:c r="E79" s="48" t="str"/>
      <x:c r="F79" s="48" t="str"/>
      <x:c r="G79" s="48" t="str"/>
      <x:c r="H79" s="48" t="str"/>
      <x:c r="I79" s="48" t="str"/>
      <x:c r="J79" s="48" t="str">
        <x:v>未開始</x:v>
      </x:c>
      <x:c r="K79" s="48" t="str"/>
      <x:c r="L79" s="54"/>
    </x:row>
    <x:row r="80" ht="36" customHeight="1">
      <x:c r="A80" s="45" t="n">
        <x:v>75</x:v>
      </x:c>
      <x:c r="B80" s="48" t="str"/>
      <x:c r="C80" s="48" t="str"/>
      <x:c r="D80" s="48" t="str"/>
      <x:c r="E80" s="48" t="str"/>
      <x:c r="F80" s="48" t="str"/>
      <x:c r="G80" s="48" t="str"/>
      <x:c r="H80" s="48" t="str"/>
      <x:c r="I80" s="48" t="str"/>
      <x:c r="J80" s="48" t="str">
        <x:v>未開始</x:v>
      </x:c>
      <x:c r="K80" s="48" t="str"/>
      <x:c r="L80" s="54"/>
    </x:row>
    <x:row r="81" ht="36" customHeight="1">
      <x:c r="A81" s="45" t="n">
        <x:v>76</x:v>
      </x:c>
      <x:c r="B81" s="48" t="str"/>
      <x:c r="C81" s="48" t="str"/>
      <x:c r="D81" s="48" t="str"/>
      <x:c r="E81" s="48" t="str"/>
      <x:c r="F81" s="48" t="str"/>
      <x:c r="G81" s="48" t="str"/>
      <x:c r="H81" s="48" t="str"/>
      <x:c r="I81" s="48" t="str"/>
      <x:c r="J81" s="48" t="str">
        <x:v>未開始</x:v>
      </x:c>
      <x:c r="K81" s="48" t="str"/>
      <x:c r="L81" s="54"/>
    </x:row>
    <x:row r="82" ht="36" customHeight="1">
      <x:c r="A82" s="45" t="n">
        <x:v>77</x:v>
      </x:c>
      <x:c r="B82" s="48" t="str"/>
      <x:c r="C82" s="48" t="str"/>
      <x:c r="D82" s="48" t="str"/>
      <x:c r="E82" s="48" t="str"/>
      <x:c r="F82" s="48" t="str"/>
      <x:c r="G82" s="48" t="str"/>
      <x:c r="H82" s="48" t="str"/>
      <x:c r="I82" s="48" t="str"/>
      <x:c r="J82" s="48" t="str">
        <x:v>未開始</x:v>
      </x:c>
      <x:c r="K82" s="48" t="str"/>
      <x:c r="L82" s="54"/>
    </x:row>
    <x:row r="83" ht="36" customHeight="1">
      <x:c r="A83" s="45" t="n">
        <x:v>78</x:v>
      </x:c>
      <x:c r="B83" s="48" t="str"/>
      <x:c r="C83" s="48" t="str"/>
      <x:c r="D83" s="48" t="str"/>
      <x:c r="E83" s="48" t="str"/>
      <x:c r="F83" s="48" t="str"/>
      <x:c r="G83" s="48" t="str"/>
      <x:c r="H83" s="48" t="str"/>
      <x:c r="I83" s="48" t="str"/>
      <x:c r="J83" s="48" t="str">
        <x:v>未開始</x:v>
      </x:c>
      <x:c r="K83" s="48" t="str"/>
      <x:c r="L83" s="54"/>
    </x:row>
    <x:row r="84" ht="36" customHeight="1">
      <x:c r="A84" s="45" t="n">
        <x:v>79</x:v>
      </x:c>
      <x:c r="B84" s="48" t="str"/>
      <x:c r="C84" s="48" t="str"/>
      <x:c r="D84" s="48" t="str"/>
      <x:c r="E84" s="48" t="str"/>
      <x:c r="F84" s="48" t="str"/>
      <x:c r="G84" s="48" t="str"/>
      <x:c r="H84" s="48" t="str"/>
      <x:c r="I84" s="48" t="str"/>
      <x:c r="J84" s="48" t="str">
        <x:v>未開始</x:v>
      </x:c>
      <x:c r="K84" s="48" t="str"/>
      <x:c r="L84" s="54"/>
    </x:row>
    <x:row r="85" ht="36" customHeight="1">
      <x:c r="A85" s="45" t="n">
        <x:v>80</x:v>
      </x:c>
      <x:c r="B85" s="48" t="str"/>
      <x:c r="C85" s="48" t="str"/>
      <x:c r="D85" s="48" t="str"/>
      <x:c r="E85" s="48" t="str"/>
      <x:c r="F85" s="48" t="str"/>
      <x:c r="G85" s="48" t="str"/>
      <x:c r="H85" s="48" t="str"/>
      <x:c r="I85" s="48" t="str"/>
      <x:c r="J85" s="48" t="str">
        <x:v>未開始</x:v>
      </x:c>
      <x:c r="K85" s="48" t="str"/>
      <x:c r="L85" s="54"/>
    </x:row>
    <x:row r="86" ht="36" customHeight="1">
      <x:c r="A86" s="45" t="n">
        <x:v>81</x:v>
      </x:c>
      <x:c r="B86" s="48" t="str"/>
      <x:c r="C86" s="48" t="str"/>
      <x:c r="D86" s="48" t="str"/>
      <x:c r="E86" s="48" t="str"/>
      <x:c r="F86" s="48" t="str"/>
      <x:c r="G86" s="48" t="str"/>
      <x:c r="H86" s="48" t="str"/>
      <x:c r="I86" s="48" t="str"/>
      <x:c r="J86" s="48" t="str">
        <x:v>未開始</x:v>
      </x:c>
      <x:c r="K86" s="48" t="str"/>
      <x:c r="L86" s="54"/>
    </x:row>
    <x:row r="87" ht="36" customHeight="1">
      <x:c r="A87" s="45" t="n">
        <x:v>82</x:v>
      </x:c>
      <x:c r="B87" s="48" t="str"/>
      <x:c r="C87" s="48" t="str"/>
      <x:c r="D87" s="48" t="str"/>
      <x:c r="E87" s="48" t="str"/>
      <x:c r="F87" s="48" t="str"/>
      <x:c r="G87" s="48" t="str"/>
      <x:c r="H87" s="48" t="str"/>
      <x:c r="I87" s="48" t="str"/>
      <x:c r="J87" s="48" t="str">
        <x:v>未開始</x:v>
      </x:c>
      <x:c r="K87" s="48" t="str"/>
      <x:c r="L87" s="54"/>
    </x:row>
    <x:row r="88" ht="36" customHeight="1">
      <x:c r="A88" s="45" t="n">
        <x:v>83</x:v>
      </x:c>
      <x:c r="B88" s="48" t="str"/>
      <x:c r="C88" s="48" t="str"/>
      <x:c r="D88" s="48" t="str"/>
      <x:c r="E88" s="48" t="str"/>
      <x:c r="F88" s="48" t="str"/>
      <x:c r="G88" s="48" t="str"/>
      <x:c r="H88" s="48" t="str"/>
      <x:c r="I88" s="48" t="str"/>
      <x:c r="J88" s="48" t="str">
        <x:v>未開始</x:v>
      </x:c>
      <x:c r="K88" s="48" t="str"/>
      <x:c r="L88" s="54"/>
    </x:row>
    <x:row r="89" ht="36" customHeight="1">
      <x:c r="A89" s="45" t="n">
        <x:v>84</x:v>
      </x:c>
      <x:c r="B89" s="48" t="str"/>
      <x:c r="C89" s="48" t="str"/>
      <x:c r="D89" s="48" t="str"/>
      <x:c r="E89" s="48" t="str"/>
      <x:c r="F89" s="48" t="str"/>
      <x:c r="G89" s="48" t="str"/>
      <x:c r="H89" s="48" t="str"/>
      <x:c r="I89" s="48" t="str"/>
      <x:c r="J89" s="48" t="str">
        <x:v>未開始</x:v>
      </x:c>
      <x:c r="K89" s="48" t="str"/>
      <x:c r="L89" s="54"/>
    </x:row>
    <x:row r="90" ht="36" customHeight="1">
      <x:c r="A90" s="45" t="n">
        <x:v>85</x:v>
      </x:c>
      <x:c r="B90" s="48" t="str"/>
      <x:c r="C90" s="48" t="str"/>
      <x:c r="D90" s="48" t="str"/>
      <x:c r="E90" s="48" t="str"/>
      <x:c r="F90" s="48" t="str"/>
      <x:c r="G90" s="48" t="str"/>
      <x:c r="H90" s="48" t="str"/>
      <x:c r="I90" s="48" t="str"/>
      <x:c r="J90" s="48" t="str">
        <x:v>未開始</x:v>
      </x:c>
      <x:c r="K90" s="48" t="str"/>
      <x:c r="L90" s="54"/>
    </x:row>
    <x:row r="91" ht="36" customHeight="1">
      <x:c r="A91" s="45" t="n">
        <x:v>86</x:v>
      </x:c>
      <x:c r="B91" s="48" t="str"/>
      <x:c r="C91" s="48" t="str"/>
      <x:c r="D91" s="48" t="str"/>
      <x:c r="E91" s="48" t="str"/>
      <x:c r="F91" s="48" t="str"/>
      <x:c r="G91" s="48" t="str"/>
      <x:c r="H91" s="48" t="str"/>
      <x:c r="I91" s="48" t="str"/>
      <x:c r="J91" s="48" t="str">
        <x:v>未開始</x:v>
      </x:c>
      <x:c r="K91" s="48" t="str"/>
      <x:c r="L91" s="54"/>
    </x:row>
    <x:row r="92" ht="36" customHeight="1">
      <x:c r="A92" s="45" t="n">
        <x:v>87</x:v>
      </x:c>
      <x:c r="B92" s="48" t="str"/>
      <x:c r="C92" s="48" t="str"/>
      <x:c r="D92" s="48" t="str"/>
      <x:c r="E92" s="48" t="str"/>
      <x:c r="F92" s="48" t="str"/>
      <x:c r="G92" s="48" t="str"/>
      <x:c r="H92" s="48" t="str"/>
      <x:c r="I92" s="48" t="str"/>
      <x:c r="J92" s="48" t="str">
        <x:v>未開始</x:v>
      </x:c>
      <x:c r="K92" s="48" t="str"/>
      <x:c r="L92" s="54"/>
    </x:row>
    <x:row r="93" ht="36" customHeight="1">
      <x:c r="A93" s="45" t="n">
        <x:v>88</x:v>
      </x:c>
      <x:c r="B93" s="48" t="str"/>
      <x:c r="C93" s="48" t="str"/>
      <x:c r="D93" s="48" t="str"/>
      <x:c r="E93" s="48" t="str"/>
      <x:c r="F93" s="48" t="str"/>
      <x:c r="G93" s="48" t="str"/>
      <x:c r="H93" s="48" t="str"/>
      <x:c r="I93" s="48" t="str"/>
      <x:c r="J93" s="48" t="str">
        <x:v>未開始</x:v>
      </x:c>
      <x:c r="K93" s="48" t="str"/>
      <x:c r="L93" s="54"/>
    </x:row>
    <x:row r="94" ht="36" customHeight="1">
      <x:c r="A94" s="45" t="n">
        <x:v>89</x:v>
      </x:c>
      <x:c r="B94" s="48" t="str"/>
      <x:c r="C94" s="48" t="str"/>
      <x:c r="D94" s="48" t="str"/>
      <x:c r="E94" s="48" t="str"/>
      <x:c r="F94" s="48" t="str"/>
      <x:c r="G94" s="48" t="str"/>
      <x:c r="H94" s="48" t="str"/>
      <x:c r="I94" s="48" t="str"/>
      <x:c r="J94" s="48" t="str">
        <x:v>未開始</x:v>
      </x:c>
      <x:c r="K94" s="48" t="str"/>
      <x:c r="L94" s="54"/>
    </x:row>
    <x:row r="95" ht="36" customHeight="1">
      <x:c r="A95" s="45" t="n">
        <x:v>90</x:v>
      </x:c>
      <x:c r="B95" s="48" t="str"/>
      <x:c r="C95" s="48" t="str"/>
      <x:c r="D95" s="48" t="str"/>
      <x:c r="E95" s="48" t="str"/>
      <x:c r="F95" s="48" t="str"/>
      <x:c r="G95" s="48" t="str"/>
      <x:c r="H95" s="48" t="str"/>
      <x:c r="I95" s="48" t="str"/>
      <x:c r="J95" s="48" t="str">
        <x:v>未開始</x:v>
      </x:c>
      <x:c r="K95" s="48" t="str"/>
      <x:c r="L95" s="54"/>
    </x:row>
    <x:row r="96" ht="36" customHeight="1">
      <x:c r="A96" s="45" t="n">
        <x:v>91</x:v>
      </x:c>
      <x:c r="B96" s="48" t="str"/>
      <x:c r="C96" s="48" t="str"/>
      <x:c r="D96" s="48" t="str"/>
      <x:c r="E96" s="48" t="str"/>
      <x:c r="F96" s="48" t="str"/>
      <x:c r="G96" s="48" t="str"/>
      <x:c r="H96" s="48" t="str"/>
      <x:c r="I96" s="48" t="str"/>
      <x:c r="J96" s="48" t="str">
        <x:v>未開始</x:v>
      </x:c>
      <x:c r="K96" s="48" t="str"/>
      <x:c r="L96" s="54"/>
    </x:row>
    <x:row r="97" ht="36" customHeight="1">
      <x:c r="A97" s="45" t="n">
        <x:v>92</x:v>
      </x:c>
      <x:c r="B97" s="48" t="str"/>
      <x:c r="C97" s="48" t="str"/>
      <x:c r="D97" s="48" t="str"/>
      <x:c r="E97" s="48" t="str"/>
      <x:c r="F97" s="48" t="str"/>
      <x:c r="G97" s="48" t="str"/>
      <x:c r="H97" s="48" t="str"/>
      <x:c r="I97" s="48" t="str"/>
      <x:c r="J97" s="48" t="str">
        <x:v>未開始</x:v>
      </x:c>
      <x:c r="K97" s="48" t="str"/>
      <x:c r="L97" s="54"/>
    </x:row>
    <x:row r="98" ht="36" customHeight="1">
      <x:c r="A98" s="45" t="n">
        <x:v>93</x:v>
      </x:c>
      <x:c r="B98" s="48" t="str"/>
      <x:c r="C98" s="48" t="str"/>
      <x:c r="D98" s="48" t="str"/>
      <x:c r="E98" s="48" t="str"/>
      <x:c r="F98" s="48" t="str"/>
      <x:c r="G98" s="48" t="str"/>
      <x:c r="H98" s="48" t="str"/>
      <x:c r="I98" s="48" t="str"/>
      <x:c r="J98" s="48" t="str">
        <x:v>未開始</x:v>
      </x:c>
      <x:c r="K98" s="48" t="str"/>
      <x:c r="L98" s="54"/>
    </x:row>
    <x:row r="99" ht="36" customHeight="1">
      <x:c r="A99" s="45" t="n">
        <x:v>94</x:v>
      </x:c>
      <x:c r="B99" s="48" t="str"/>
      <x:c r="C99" s="48" t="str"/>
      <x:c r="D99" s="48" t="str"/>
      <x:c r="E99" s="48" t="str"/>
      <x:c r="F99" s="48" t="str"/>
      <x:c r="G99" s="48" t="str"/>
      <x:c r="H99" s="48" t="str"/>
      <x:c r="I99" s="48" t="str"/>
      <x:c r="J99" s="48" t="str">
        <x:v>未開始</x:v>
      </x:c>
      <x:c r="K99" s="48" t="str"/>
      <x:c r="L99" s="54"/>
    </x:row>
    <x:row r="100" ht="36" customHeight="1">
      <x:c r="A100" s="45" t="n">
        <x:v>95</x:v>
      </x:c>
      <x:c r="B100" s="48" t="str"/>
      <x:c r="C100" s="48" t="str"/>
      <x:c r="D100" s="48" t="str"/>
      <x:c r="E100" s="48" t="str"/>
      <x:c r="F100" s="48" t="str"/>
      <x:c r="G100" s="48" t="str"/>
      <x:c r="H100" s="48" t="str"/>
      <x:c r="I100" s="48" t="str"/>
      <x:c r="J100" s="48" t="str">
        <x:v>未開始</x:v>
      </x:c>
      <x:c r="K100" s="48" t="str"/>
      <x:c r="L100" s="54"/>
    </x:row>
    <x:row r="101" ht="36" customHeight="1">
      <x:c r="A101" s="45" t="n">
        <x:v>96</x:v>
      </x:c>
      <x:c r="B101" s="48" t="str"/>
      <x:c r="C101" s="48" t="str"/>
      <x:c r="D101" s="48" t="str"/>
      <x:c r="E101" s="48" t="str"/>
      <x:c r="F101" s="48" t="str"/>
      <x:c r="G101" s="48" t="str"/>
      <x:c r="H101" s="48" t="str"/>
      <x:c r="I101" s="48" t="str"/>
      <x:c r="J101" s="48" t="str">
        <x:v>未開始</x:v>
      </x:c>
      <x:c r="K101" s="48" t="str"/>
      <x:c r="L101" s="54"/>
    </x:row>
    <x:row r="102" ht="36" customHeight="1">
      <x:c r="A102" s="45" t="n">
        <x:v>97</x:v>
      </x:c>
      <x:c r="B102" s="48" t="str"/>
      <x:c r="C102" s="48" t="str"/>
      <x:c r="D102" s="48" t="str"/>
      <x:c r="E102" s="48" t="str"/>
      <x:c r="F102" s="48" t="str"/>
      <x:c r="G102" s="48" t="str"/>
      <x:c r="H102" s="48" t="str"/>
      <x:c r="I102" s="48" t="str"/>
      <x:c r="J102" s="48" t="str">
        <x:v>未開始</x:v>
      </x:c>
      <x:c r="K102" s="48" t="str"/>
      <x:c r="L102" s="54"/>
    </x:row>
    <x:row r="103" ht="36" customHeight="1">
      <x:c r="A103" s="45" t="n">
        <x:v>98</x:v>
      </x:c>
      <x:c r="B103" s="48" t="str"/>
      <x:c r="C103" s="48" t="str"/>
      <x:c r="D103" s="48" t="str"/>
      <x:c r="E103" s="48" t="str"/>
      <x:c r="F103" s="48" t="str"/>
      <x:c r="G103" s="48" t="str"/>
      <x:c r="H103" s="48" t="str"/>
      <x:c r="I103" s="48" t="str"/>
      <x:c r="J103" s="48" t="str">
        <x:v>未開始</x:v>
      </x:c>
      <x:c r="K103" s="48" t="str"/>
      <x:c r="L103" s="54"/>
    </x:row>
    <x:row r="104" ht="36" customHeight="1">
      <x:c r="A104" s="45" t="n">
        <x:v>99</x:v>
      </x:c>
      <x:c r="B104" s="48" t="str"/>
      <x:c r="C104" s="48" t="str"/>
      <x:c r="D104" s="48" t="str"/>
      <x:c r="E104" s="48" t="str"/>
      <x:c r="F104" s="48" t="str"/>
      <x:c r="G104" s="48" t="str"/>
      <x:c r="H104" s="48" t="str"/>
      <x:c r="I104" s="48" t="str"/>
      <x:c r="J104" s="48" t="str">
        <x:v>未開始</x:v>
      </x:c>
      <x:c r="K104" s="48" t="str"/>
      <x:c r="L104" s="54"/>
    </x:row>
    <x:row r="105" ht="36" customHeight="1">
      <x:c r="A105" s="45" t="n">
        <x:v>100</x:v>
      </x:c>
      <x:c r="B105" s="48" t="str"/>
      <x:c r="C105" s="48" t="str"/>
      <x:c r="D105" s="48" t="str"/>
      <x:c r="E105" s="48" t="str"/>
      <x:c r="F105" s="48" t="str"/>
      <x:c r="G105" s="48" t="str"/>
      <x:c r="H105" s="48" t="str"/>
      <x:c r="I105" s="48" t="str"/>
      <x:c r="J105" s="48" t="str">
        <x:v>未開始</x:v>
      </x:c>
      <x:c r="K105" s="48" t="str"/>
      <x:c r="L105" s="54"/>
    </x:row>
    <x:row r="106" ht="36" customHeight="1">
      <x:c r="A106" s="45" t="n">
        <x:v>101</x:v>
      </x:c>
      <x:c r="B106" s="48" t="str"/>
      <x:c r="C106" s="48" t="str"/>
      <x:c r="D106" s="48" t="str"/>
      <x:c r="E106" s="48" t="str"/>
      <x:c r="F106" s="48" t="str"/>
      <x:c r="G106" s="48" t="str"/>
      <x:c r="H106" s="48" t="str"/>
      <x:c r="I106" s="48" t="str"/>
      <x:c r="J106" s="48" t="str">
        <x:v>未開始</x:v>
      </x:c>
      <x:c r="K106" s="48" t="str"/>
      <x:c r="L106" s="54"/>
    </x:row>
    <x:row r="107" ht="36" customHeight="1">
      <x:c r="A107" s="45" t="n">
        <x:v>102</x:v>
      </x:c>
      <x:c r="B107" s="48" t="str"/>
      <x:c r="C107" s="48" t="str"/>
      <x:c r="D107" s="48" t="str"/>
      <x:c r="E107" s="48" t="str"/>
      <x:c r="F107" s="48" t="str"/>
      <x:c r="G107" s="48" t="str"/>
      <x:c r="H107" s="48" t="str"/>
      <x:c r="I107" s="48" t="str"/>
      <x:c r="J107" s="48" t="str">
        <x:v>未開始</x:v>
      </x:c>
      <x:c r="K107" s="48" t="str"/>
      <x:c r="L107" s="54"/>
    </x:row>
    <x:row r="108" ht="36" customHeight="1">
      <x:c r="A108" s="45" t="n">
        <x:v>103</x:v>
      </x:c>
      <x:c r="B108" s="48" t="str"/>
      <x:c r="C108" s="48" t="str"/>
      <x:c r="D108" s="48" t="str"/>
      <x:c r="E108" s="48" t="str"/>
      <x:c r="F108" s="48" t="str"/>
      <x:c r="G108" s="48" t="str"/>
      <x:c r="H108" s="48" t="str"/>
      <x:c r="I108" s="48" t="str"/>
      <x:c r="J108" s="48" t="str">
        <x:v>未開始</x:v>
      </x:c>
      <x:c r="K108" s="48" t="str"/>
      <x:c r="L108" s="54"/>
    </x:row>
    <x:row r="109" ht="36" customHeight="1">
      <x:c r="A109" s="45" t="n">
        <x:v>104</x:v>
      </x:c>
      <x:c r="B109" s="48" t="str"/>
      <x:c r="C109" s="48" t="str"/>
      <x:c r="D109" s="48" t="str"/>
      <x:c r="E109" s="48" t="str"/>
      <x:c r="F109" s="48" t="str"/>
      <x:c r="G109" s="48" t="str"/>
      <x:c r="H109" s="48" t="str"/>
      <x:c r="I109" s="48" t="str"/>
      <x:c r="J109" s="48" t="str">
        <x:v>未開始</x:v>
      </x:c>
      <x:c r="K109" s="48" t="str"/>
      <x:c r="L109" s="54"/>
    </x:row>
    <x:row r="110" ht="36" customHeight="1">
      <x:c r="A110" s="45" t="n">
        <x:v>105</x:v>
      </x:c>
      <x:c r="B110" s="48" t="str"/>
      <x:c r="C110" s="48" t="str"/>
      <x:c r="D110" s="48" t="str"/>
      <x:c r="E110" s="48" t="str"/>
      <x:c r="F110" s="48" t="str"/>
      <x:c r="G110" s="48" t="str"/>
      <x:c r="H110" s="48" t="str"/>
      <x:c r="I110" s="48" t="str"/>
      <x:c r="J110" s="48" t="str">
        <x:v>未開始</x:v>
      </x:c>
      <x:c r="K110" s="48" t="str"/>
      <x:c r="L110" s="54"/>
    </x:row>
    <x:row r="111" ht="36" customHeight="1">
      <x:c r="A111" s="45" t="n">
        <x:v>106</x:v>
      </x:c>
      <x:c r="B111" s="48" t="str"/>
      <x:c r="C111" s="48" t="str"/>
      <x:c r="D111" s="48" t="str"/>
      <x:c r="E111" s="48" t="str"/>
      <x:c r="F111" s="48" t="str"/>
      <x:c r="G111" s="48" t="str"/>
      <x:c r="H111" s="48" t="str"/>
      <x:c r="I111" s="48" t="str"/>
      <x:c r="J111" s="48" t="str">
        <x:v>未開始</x:v>
      </x:c>
      <x:c r="K111" s="48" t="str"/>
      <x:c r="L111" s="54"/>
    </x:row>
    <x:row r="112" ht="36" customHeight="1">
      <x:c r="A112" s="45" t="n">
        <x:v>107</x:v>
      </x:c>
      <x:c r="B112" s="48" t="str"/>
      <x:c r="C112" s="48" t="str"/>
      <x:c r="D112" s="48" t="str"/>
      <x:c r="E112" s="48" t="str"/>
      <x:c r="F112" s="48" t="str"/>
      <x:c r="G112" s="48" t="str"/>
      <x:c r="H112" s="48" t="str"/>
      <x:c r="I112" s="48" t="str"/>
      <x:c r="J112" s="48" t="str">
        <x:v>未開始</x:v>
      </x:c>
      <x:c r="K112" s="48" t="str"/>
      <x:c r="L112" s="54"/>
    </x:row>
    <x:row r="113" ht="36" customHeight="1">
      <x:c r="A113" s="45" t="n">
        <x:v>108</x:v>
      </x:c>
      <x:c r="B113" s="48" t="str"/>
      <x:c r="C113" s="48" t="str"/>
      <x:c r="D113" s="48" t="str"/>
      <x:c r="E113" s="48" t="str"/>
      <x:c r="F113" s="48" t="str"/>
      <x:c r="G113" s="48" t="str"/>
      <x:c r="H113" s="48" t="str"/>
      <x:c r="I113" s="48" t="str"/>
      <x:c r="J113" s="48" t="str">
        <x:v>未開始</x:v>
      </x:c>
      <x:c r="K113" s="48" t="str"/>
      <x:c r="L113" s="54"/>
    </x:row>
    <x:row r="114" ht="36" customHeight="1">
      <x:c r="A114" s="45" t="n">
        <x:v>109</x:v>
      </x:c>
      <x:c r="B114" s="48" t="str"/>
      <x:c r="C114" s="48" t="str"/>
      <x:c r="D114" s="48" t="str"/>
      <x:c r="E114" s="48" t="str"/>
      <x:c r="F114" s="48" t="str"/>
      <x:c r="G114" s="48" t="str"/>
      <x:c r="H114" s="48" t="str"/>
      <x:c r="I114" s="48" t="str"/>
      <x:c r="J114" s="48" t="str">
        <x:v>未開始</x:v>
      </x:c>
      <x:c r="K114" s="48" t="str"/>
      <x:c r="L114" s="54"/>
    </x:row>
    <x:row r="115" ht="36" customHeight="1">
      <x:c r="A115" s="45" t="n">
        <x:v>110</x:v>
      </x:c>
      <x:c r="B115" s="48" t="str"/>
      <x:c r="C115" s="48" t="str"/>
      <x:c r="D115" s="48" t="str"/>
      <x:c r="E115" s="48" t="str"/>
      <x:c r="F115" s="48" t="str"/>
      <x:c r="G115" s="48" t="str"/>
      <x:c r="H115" s="48" t="str"/>
      <x:c r="I115" s="48" t="str"/>
      <x:c r="J115" s="48" t="str">
        <x:v>未開始</x:v>
      </x:c>
      <x:c r="K115" s="48" t="str"/>
      <x:c r="L115" s="54"/>
    </x:row>
    <x:row r="116" ht="36" customHeight="1">
      <x:c r="A116" s="45" t="n">
        <x:v>111</x:v>
      </x:c>
      <x:c r="B116" s="48" t="str"/>
      <x:c r="C116" s="48" t="str"/>
      <x:c r="D116" s="48" t="str"/>
      <x:c r="E116" s="48" t="str"/>
      <x:c r="F116" s="48" t="str"/>
      <x:c r="G116" s="48" t="str"/>
      <x:c r="H116" s="48" t="str"/>
      <x:c r="I116" s="48" t="str"/>
      <x:c r="J116" s="48" t="str">
        <x:v>未開始</x:v>
      </x:c>
      <x:c r="K116" s="48" t="str"/>
      <x:c r="L116" s="54"/>
    </x:row>
    <x:row r="117" ht="36" customHeight="1">
      <x:c r="A117" s="45" t="n">
        <x:v>112</x:v>
      </x:c>
      <x:c r="B117" s="48" t="str"/>
      <x:c r="C117" s="48" t="str"/>
      <x:c r="D117" s="48" t="str"/>
      <x:c r="E117" s="48" t="str"/>
      <x:c r="F117" s="48" t="str"/>
      <x:c r="G117" s="48" t="str"/>
      <x:c r="H117" s="48" t="str"/>
      <x:c r="I117" s="48" t="str"/>
      <x:c r="J117" s="48" t="str">
        <x:v>未開始</x:v>
      </x:c>
      <x:c r="K117" s="48" t="str"/>
      <x:c r="L117" s="54"/>
    </x:row>
    <x:row r="118" ht="36" customHeight="1">
      <x:c r="A118" s="45" t="n">
        <x:v>113</x:v>
      </x:c>
      <x:c r="B118" s="48" t="str"/>
      <x:c r="C118" s="48" t="str"/>
      <x:c r="D118" s="48" t="str"/>
      <x:c r="E118" s="48" t="str"/>
      <x:c r="F118" s="48" t="str"/>
      <x:c r="G118" s="48" t="str"/>
      <x:c r="H118" s="48" t="str"/>
      <x:c r="I118" s="48" t="str"/>
      <x:c r="J118" s="48" t="str">
        <x:v>未開始</x:v>
      </x:c>
      <x:c r="K118" s="48" t="str"/>
      <x:c r="L118" s="54"/>
    </x:row>
    <x:row r="119" ht="36" customHeight="1">
      <x:c r="A119" s="45" t="n">
        <x:v>114</x:v>
      </x:c>
      <x:c r="B119" s="48" t="str"/>
      <x:c r="C119" s="48" t="str"/>
      <x:c r="D119" s="48" t="str"/>
      <x:c r="E119" s="48" t="str"/>
      <x:c r="F119" s="48" t="str"/>
      <x:c r="G119" s="48" t="str"/>
      <x:c r="H119" s="48" t="str"/>
      <x:c r="I119" s="48" t="str"/>
      <x:c r="J119" s="48" t="str">
        <x:v>未開始</x:v>
      </x:c>
      <x:c r="K119" s="48" t="str"/>
      <x:c r="L119" s="54"/>
    </x:row>
    <x:row r="120" ht="36" customHeight="1">
      <x:c r="A120" s="45" t="n">
        <x:v>115</x:v>
      </x:c>
      <x:c r="B120" s="48" t="str"/>
      <x:c r="C120" s="48" t="str"/>
      <x:c r="D120" s="48" t="str"/>
      <x:c r="E120" s="48" t="str"/>
      <x:c r="F120" s="48" t="str"/>
      <x:c r="G120" s="48" t="str"/>
      <x:c r="H120" s="48" t="str"/>
      <x:c r="I120" s="48" t="str"/>
      <x:c r="J120" s="48" t="str">
        <x:v>未開始</x:v>
      </x:c>
      <x:c r="K120" s="48" t="str"/>
      <x:c r="L120" s="54"/>
    </x:row>
    <x:row r="121" ht="36" customHeight="1">
      <x:c r="A121" s="45" t="n">
        <x:v>116</x:v>
      </x:c>
      <x:c r="B121" s="48" t="str"/>
      <x:c r="C121" s="48" t="str"/>
      <x:c r="D121" s="48" t="str"/>
      <x:c r="E121" s="48" t="str"/>
      <x:c r="F121" s="48" t="str"/>
      <x:c r="G121" s="48" t="str"/>
      <x:c r="H121" s="48" t="str"/>
      <x:c r="I121" s="48" t="str"/>
      <x:c r="J121" s="48" t="str">
        <x:v>未開始</x:v>
      </x:c>
      <x:c r="K121" s="48" t="str"/>
      <x:c r="L121" s="54"/>
    </x:row>
    <x:row r="122" ht="36" customHeight="1">
      <x:c r="A122" s="45" t="n">
        <x:v>117</x:v>
      </x:c>
      <x:c r="B122" s="48" t="str"/>
      <x:c r="C122" s="48" t="str"/>
      <x:c r="D122" s="48" t="str"/>
      <x:c r="E122" s="48" t="str"/>
      <x:c r="F122" s="48" t="str"/>
      <x:c r="G122" s="48" t="str"/>
      <x:c r="H122" s="48" t="str"/>
      <x:c r="I122" s="48" t="str"/>
      <x:c r="J122" s="48" t="str">
        <x:v>未開始</x:v>
      </x:c>
      <x:c r="K122" s="48" t="str"/>
      <x:c r="L122" s="54"/>
    </x:row>
    <x:row r="123" ht="36" customHeight="1">
      <x:c r="A123" s="45" t="n">
        <x:v>118</x:v>
      </x:c>
      <x:c r="B123" s="48" t="str"/>
      <x:c r="C123" s="48" t="str"/>
      <x:c r="D123" s="48" t="str"/>
      <x:c r="E123" s="48" t="str"/>
      <x:c r="F123" s="48" t="str"/>
      <x:c r="G123" s="48" t="str"/>
      <x:c r="H123" s="48" t="str"/>
      <x:c r="I123" s="48" t="str"/>
      <x:c r="J123" s="48" t="str">
        <x:v>未開始</x:v>
      </x:c>
      <x:c r="K123" s="48" t="str"/>
      <x:c r="L123" s="54"/>
    </x:row>
    <x:row r="124" ht="36" customHeight="1">
      <x:c r="A124" s="45" t="n">
        <x:v>119</x:v>
      </x:c>
      <x:c r="B124" s="48" t="str"/>
      <x:c r="C124" s="48" t="str"/>
      <x:c r="D124" s="48" t="str"/>
      <x:c r="E124" s="48" t="str"/>
      <x:c r="F124" s="48" t="str"/>
      <x:c r="G124" s="48" t="str"/>
      <x:c r="H124" s="48" t="str"/>
      <x:c r="I124" s="48" t="str"/>
      <x:c r="J124" s="48" t="str">
        <x:v>未開始</x:v>
      </x:c>
      <x:c r="K124" s="48" t="str"/>
      <x:c r="L124" s="54"/>
    </x:row>
    <x:row r="125" ht="36" customHeight="1">
      <x:c r="A125" s="61" t="n">
        <x:v>120</x:v>
      </x:c>
      <x:c r="B125" s="62" t="str"/>
      <x:c r="C125" s="62" t="str"/>
      <x:c r="D125" s="62" t="str"/>
      <x:c r="E125" s="62" t="str"/>
      <x:c r="F125" s="62" t="str"/>
      <x:c r="G125" s="62" t="str"/>
      <x:c r="H125" s="62" t="str"/>
      <x:c r="I125" s="62" t="str"/>
      <x:c r="J125" s="62" t="str">
        <x:v>未開始</x:v>
      </x:c>
      <x:c r="K125" s="62" t="str"/>
      <x:c r="L125" s="63"/>
    </x:row>
  </x:sheetData>
  <x:conditionalFormatting sqref="G6:G125">
    <x:cfRule type="containsText" dxfId="4" priority="1" operator="containsText" text="未達"/>
    <x:cfRule type="containsText" dxfId="5" priority="2" operator="containsText" text="達標"/>
  </x:conditionalFormatting>
  <x:dataValidations count="4">
    <x:dataValidation type="list" sqref="B6:B125">
      <x:formula1>"P1,P2,P3,P4,P5,P6,S1,S2,S3,S4,S5,S6"</x:formula1>
    </x:dataValidation>
    <x:dataValidation type="list" sqref="F6:F125">
      <x:formula1>"定位資料,比較來源,證據推理,解難建模,AI 驗證,反思修正"</x:formula1>
    </x:dataValidation>
    <x:dataValidation type="list" sqref="G6:G125">
      <x:formula1>"未達,接近,達標,超越"</x:formula1>
    </x:dataValidation>
    <x:dataValidation type="list" sqref="J6:J125">
      <x:formula1>"未開始,進行中,已完成"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f2b5c74bef4472"/>
  </x:tableParts>
</x:worksheet>
</file>

<file path=xl/worksheets/sheet4.xml><?xml version="1.0" encoding="utf-8"?>
<x:worksheet xmlns:x="http://schemas.openxmlformats.org/spreadsheetml/2006/main">
  <x:sheetPr>
    <x:tabColor rgb="FFD67A4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3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6" hidden="0" customWidth="1"/>
    <x:col min="11" max="11" width="16" hidden="0" customWidth="1"/>
    <x:col min="12" max="12" width="30" hidden="0" customWidth="1"/>
    <x:col min="13" max="13" width="1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課程改革行動計畫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把高優先級缺口轉化為有負責人、時限及成功證據的行動。</x:v>
      </x:c>
      <x:c r="B3" s="2" t="str">
        <x:v>把高優先級缺口轉化為有負責人、時限及成功證據的行動。</x:v>
      </x:c>
      <x:c r="C3" s="2" t="str">
        <x:v>把高優先級缺口轉化為有負責人、時限及成功證據的行動。</x:v>
      </x:c>
      <x:c r="D3" s="2" t="str">
        <x:v>把高優先級缺口轉化為有負責人、時限及成功證據的行動。</x:v>
      </x:c>
      <x:c r="E3" s="2" t="str">
        <x:v>把高優先級缺口轉化為有負責人、時限及成功證據的行動。</x:v>
      </x:c>
      <x:c r="F3" s="2" t="str">
        <x:v>把高優先級缺口轉化為有負責人、時限及成功證據的行動。</x:v>
      </x:c>
      <x:c r="G3" s="2" t="str">
        <x:v>把高優先級缺口轉化為有負責人、時限及成功證據的行動。</x:v>
      </x:c>
      <x:c r="H3" s="2" t="str">
        <x:v>把高優先級缺口轉化為有負責人、時限及成功證據的行動。</x:v>
      </x:c>
      <x:c r="I3" s="2" t="str">
        <x:v>把高優先級缺口轉化為有負責人、時限及成功證據的行動。</x:v>
      </x:c>
      <x:c r="J3" s="2" t="str">
        <x:v>把高優先級缺口轉化為有負責人、時限及成功證據的行動。</x:v>
      </x:c>
      <x:c r="K3" s="2" t="str">
        <x:v>把高優先級缺口轉化為有負責人、時限及成功證據的行動。</x:v>
      </x:c>
      <x:c r="L3" s="2" t="str">
        <x:v>把高優先級缺口轉化為有負責人、時限及成功證據的行動。</x:v>
      </x:c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11" t="str">
        <x:v>行動編號</x:v>
      </x:c>
      <x:c r="B5" s="25" t="str">
        <x:v>來源審計編號</x:v>
      </x:c>
      <x:c r="C5" s="25" t="str">
        <x:v>年級／科組</x:v>
      </x:c>
      <x:c r="D5" s="25" t="str">
        <x:v>改進行動</x:v>
      </x:c>
      <x:c r="E5" s="25" t="str">
        <x:v>負責人</x:v>
      </x:c>
      <x:c r="F5" s="25" t="str">
        <x:v>開始日期</x:v>
      </x:c>
      <x:c r="G5" s="25" t="str">
        <x:v>完成日期</x:v>
      </x:c>
      <x:c r="H5" s="25" t="str">
        <x:v>狀態</x:v>
      </x:c>
      <x:c r="I5" s="25" t="str">
        <x:v>成功指標</x:v>
      </x:c>
      <x:c r="J5" s="25" t="str">
        <x:v>基線</x:v>
      </x:c>
      <x:c r="K5" s="25" t="str">
        <x:v>目標</x:v>
      </x:c>
      <x:c r="L5" s="25" t="str">
        <x:v>檢視紀錄</x:v>
      </x:c>
      <x:c r="M5" s="12" t="str">
        <x:v>逾期標記</x:v>
      </x:c>
    </x:row>
    <x:row r="6" ht="38" customHeight="1">
      <x:c r="A6" s="44" t="n">
        <x:v>1</x:v>
      </x:c>
      <x:c r="B6" s="47" t="str"/>
      <x:c r="C6" s="47" t="str"/>
      <x:c r="D6" s="47" t="str"/>
      <x:c r="E6" s="47" t="str"/>
      <x:c r="F6" s="53"/>
      <x:c r="G6" s="53"/>
      <x:c r="H6" s="47" t="str">
        <x:v>未開始</x:v>
      </x:c>
      <x:c r="I6" s="47" t="str"/>
      <x:c r="J6" s="47" t="str"/>
      <x:c r="K6" s="47" t="str"/>
      <x:c r="L6" s="47" t="str"/>
      <x:c r="M6" s="69" t="str">
        <x:f>IF(AND(G6&lt;&gt;"",G6&lt;TODAY(),H6&lt;&gt;"已完成"),"逾期","")</x:f>
      </x:c>
    </x:row>
    <x:row r="7" ht="38" customHeight="1">
      <x:c r="A7" s="45" t="n">
        <x:v>2</x:v>
      </x:c>
      <x:c r="B7" s="48" t="str"/>
      <x:c r="C7" s="48" t="str"/>
      <x:c r="D7" s="48" t="str"/>
      <x:c r="E7" s="48" t="str"/>
      <x:c r="F7" s="54"/>
      <x:c r="G7" s="54"/>
      <x:c r="H7" s="48" t="str">
        <x:v>未開始</x:v>
      </x:c>
      <x:c r="I7" s="48" t="str"/>
      <x:c r="J7" s="48" t="str"/>
      <x:c r="K7" s="48" t="str"/>
      <x:c r="L7" s="48" t="str"/>
      <x:c r="M7" s="70" t="str">
        <x:f>IF(AND(G7&lt;&gt;"",G7&lt;TODAY(),H7&lt;&gt;"已完成"),"逾期","")</x:f>
      </x:c>
    </x:row>
    <x:row r="8" ht="38" customHeight="1">
      <x:c r="A8" s="45" t="n">
        <x:v>3</x:v>
      </x:c>
      <x:c r="B8" s="48" t="str"/>
      <x:c r="C8" s="48" t="str"/>
      <x:c r="D8" s="48" t="str"/>
      <x:c r="E8" s="48" t="str"/>
      <x:c r="F8" s="54"/>
      <x:c r="G8" s="54"/>
      <x:c r="H8" s="48" t="str">
        <x:v>未開始</x:v>
      </x:c>
      <x:c r="I8" s="48" t="str"/>
      <x:c r="J8" s="48" t="str"/>
      <x:c r="K8" s="48" t="str"/>
      <x:c r="L8" s="48" t="str"/>
      <x:c r="M8" s="70" t="str">
        <x:f>IF(AND(G8&lt;&gt;"",G8&lt;TODAY(),H8&lt;&gt;"已完成"),"逾期","")</x:f>
      </x:c>
    </x:row>
    <x:row r="9" ht="38" customHeight="1">
      <x:c r="A9" s="45" t="n">
        <x:v>4</x:v>
      </x:c>
      <x:c r="B9" s="48" t="str"/>
      <x:c r="C9" s="48" t="str"/>
      <x:c r="D9" s="48" t="str"/>
      <x:c r="E9" s="48" t="str"/>
      <x:c r="F9" s="54"/>
      <x:c r="G9" s="54"/>
      <x:c r="H9" s="48" t="str">
        <x:v>未開始</x:v>
      </x:c>
      <x:c r="I9" s="48" t="str"/>
      <x:c r="J9" s="48" t="str"/>
      <x:c r="K9" s="48" t="str"/>
      <x:c r="L9" s="48" t="str"/>
      <x:c r="M9" s="70" t="str">
        <x:f>IF(AND(G9&lt;&gt;"",G9&lt;TODAY(),H9&lt;&gt;"已完成"),"逾期","")</x:f>
      </x:c>
    </x:row>
    <x:row r="10" ht="38" customHeight="1">
      <x:c r="A10" s="45" t="n">
        <x:v>5</x:v>
      </x:c>
      <x:c r="B10" s="48" t="str"/>
      <x:c r="C10" s="48" t="str"/>
      <x:c r="D10" s="48" t="str"/>
      <x:c r="E10" s="48" t="str"/>
      <x:c r="F10" s="54"/>
      <x:c r="G10" s="54"/>
      <x:c r="H10" s="48" t="str">
        <x:v>未開始</x:v>
      </x:c>
      <x:c r="I10" s="48" t="str"/>
      <x:c r="J10" s="48" t="str"/>
      <x:c r="K10" s="48" t="str"/>
      <x:c r="L10" s="48" t="str"/>
      <x:c r="M10" s="70" t="str">
        <x:f>IF(AND(G10&lt;&gt;"",G10&lt;TODAY(),H10&lt;&gt;"已完成"),"逾期","")</x:f>
      </x:c>
    </x:row>
    <x:row r="11" ht="38" customHeight="1">
      <x:c r="A11" s="45" t="n">
        <x:v>6</x:v>
      </x:c>
      <x:c r="B11" s="48" t="str"/>
      <x:c r="C11" s="48" t="str"/>
      <x:c r="D11" s="48" t="str"/>
      <x:c r="E11" s="48" t="str"/>
      <x:c r="F11" s="54"/>
      <x:c r="G11" s="54"/>
      <x:c r="H11" s="48" t="str">
        <x:v>未開始</x:v>
      </x:c>
      <x:c r="I11" s="48" t="str"/>
      <x:c r="J11" s="48" t="str"/>
      <x:c r="K11" s="48" t="str"/>
      <x:c r="L11" s="48" t="str"/>
      <x:c r="M11" s="70" t="str">
        <x:f>IF(AND(G11&lt;&gt;"",G11&lt;TODAY(),H11&lt;&gt;"已完成"),"逾期","")</x:f>
      </x:c>
    </x:row>
    <x:row r="12" ht="38" customHeight="1">
      <x:c r="A12" s="45" t="n">
        <x:v>7</x:v>
      </x:c>
      <x:c r="B12" s="48" t="str"/>
      <x:c r="C12" s="48" t="str"/>
      <x:c r="D12" s="48" t="str"/>
      <x:c r="E12" s="48" t="str"/>
      <x:c r="F12" s="54"/>
      <x:c r="G12" s="54"/>
      <x:c r="H12" s="48" t="str">
        <x:v>未開始</x:v>
      </x:c>
      <x:c r="I12" s="48" t="str"/>
      <x:c r="J12" s="48" t="str"/>
      <x:c r="K12" s="48" t="str"/>
      <x:c r="L12" s="48" t="str"/>
      <x:c r="M12" s="70" t="str">
        <x:f>IF(AND(G12&lt;&gt;"",G12&lt;TODAY(),H12&lt;&gt;"已完成"),"逾期","")</x:f>
      </x:c>
    </x:row>
    <x:row r="13" ht="38" customHeight="1">
      <x:c r="A13" s="45" t="n">
        <x:v>8</x:v>
      </x:c>
      <x:c r="B13" s="48" t="str"/>
      <x:c r="C13" s="48" t="str"/>
      <x:c r="D13" s="48" t="str"/>
      <x:c r="E13" s="48" t="str"/>
      <x:c r="F13" s="54"/>
      <x:c r="G13" s="54"/>
      <x:c r="H13" s="48" t="str">
        <x:v>未開始</x:v>
      </x:c>
      <x:c r="I13" s="48" t="str"/>
      <x:c r="J13" s="48" t="str"/>
      <x:c r="K13" s="48" t="str"/>
      <x:c r="L13" s="48" t="str"/>
      <x:c r="M13" s="70" t="str">
        <x:f>IF(AND(G13&lt;&gt;"",G13&lt;TODAY(),H13&lt;&gt;"已完成"),"逾期","")</x:f>
      </x:c>
    </x:row>
    <x:row r="14" ht="38" customHeight="1">
      <x:c r="A14" s="45" t="n">
        <x:v>9</x:v>
      </x:c>
      <x:c r="B14" s="48" t="str"/>
      <x:c r="C14" s="48" t="str"/>
      <x:c r="D14" s="48" t="str"/>
      <x:c r="E14" s="48" t="str"/>
      <x:c r="F14" s="54"/>
      <x:c r="G14" s="54"/>
      <x:c r="H14" s="48" t="str">
        <x:v>未開始</x:v>
      </x:c>
      <x:c r="I14" s="48" t="str"/>
      <x:c r="J14" s="48" t="str"/>
      <x:c r="K14" s="48" t="str"/>
      <x:c r="L14" s="48" t="str"/>
      <x:c r="M14" s="70" t="str">
        <x:f>IF(AND(G14&lt;&gt;"",G14&lt;TODAY(),H14&lt;&gt;"已完成"),"逾期","")</x:f>
      </x:c>
    </x:row>
    <x:row r="15" ht="38" customHeight="1">
      <x:c r="A15" s="45" t="n">
        <x:v>10</x:v>
      </x:c>
      <x:c r="B15" s="48" t="str"/>
      <x:c r="C15" s="48" t="str"/>
      <x:c r="D15" s="48" t="str"/>
      <x:c r="E15" s="48" t="str"/>
      <x:c r="F15" s="54"/>
      <x:c r="G15" s="54"/>
      <x:c r="H15" s="48" t="str">
        <x:v>未開始</x:v>
      </x:c>
      <x:c r="I15" s="48" t="str"/>
      <x:c r="J15" s="48" t="str"/>
      <x:c r="K15" s="48" t="str"/>
      <x:c r="L15" s="48" t="str"/>
      <x:c r="M15" s="70" t="str">
        <x:f>IF(AND(G15&lt;&gt;"",G15&lt;TODAY(),H15&lt;&gt;"已完成"),"逾期","")</x:f>
      </x:c>
    </x:row>
    <x:row r="16" ht="38" customHeight="1">
      <x:c r="A16" s="45" t="n">
        <x:v>11</x:v>
      </x:c>
      <x:c r="B16" s="48" t="str"/>
      <x:c r="C16" s="48" t="str"/>
      <x:c r="D16" s="48" t="str"/>
      <x:c r="E16" s="48" t="str"/>
      <x:c r="F16" s="54"/>
      <x:c r="G16" s="54"/>
      <x:c r="H16" s="48" t="str">
        <x:v>未開始</x:v>
      </x:c>
      <x:c r="I16" s="48" t="str"/>
      <x:c r="J16" s="48" t="str"/>
      <x:c r="K16" s="48" t="str"/>
      <x:c r="L16" s="48" t="str"/>
      <x:c r="M16" s="70" t="str">
        <x:f>IF(AND(G16&lt;&gt;"",G16&lt;TODAY(),H16&lt;&gt;"已完成"),"逾期","")</x:f>
      </x:c>
    </x:row>
    <x:row r="17" ht="38" customHeight="1">
      <x:c r="A17" s="45" t="n">
        <x:v>12</x:v>
      </x:c>
      <x:c r="B17" s="48" t="str"/>
      <x:c r="C17" s="48" t="str"/>
      <x:c r="D17" s="48" t="str"/>
      <x:c r="E17" s="48" t="str"/>
      <x:c r="F17" s="54"/>
      <x:c r="G17" s="54"/>
      <x:c r="H17" s="48" t="str">
        <x:v>未開始</x:v>
      </x:c>
      <x:c r="I17" s="48" t="str"/>
      <x:c r="J17" s="48" t="str"/>
      <x:c r="K17" s="48" t="str"/>
      <x:c r="L17" s="48" t="str"/>
      <x:c r="M17" s="70" t="str">
        <x:f>IF(AND(G17&lt;&gt;"",G17&lt;TODAY(),H17&lt;&gt;"已完成"),"逾期","")</x:f>
      </x:c>
    </x:row>
    <x:row r="18" ht="38" customHeight="1">
      <x:c r="A18" s="45" t="n">
        <x:v>13</x:v>
      </x:c>
      <x:c r="B18" s="48" t="str"/>
      <x:c r="C18" s="48" t="str"/>
      <x:c r="D18" s="48" t="str"/>
      <x:c r="E18" s="48" t="str"/>
      <x:c r="F18" s="54"/>
      <x:c r="G18" s="54"/>
      <x:c r="H18" s="48" t="str">
        <x:v>未開始</x:v>
      </x:c>
      <x:c r="I18" s="48" t="str"/>
      <x:c r="J18" s="48" t="str"/>
      <x:c r="K18" s="48" t="str"/>
      <x:c r="L18" s="48" t="str"/>
      <x:c r="M18" s="70" t="str">
        <x:f>IF(AND(G18&lt;&gt;"",G18&lt;TODAY(),H18&lt;&gt;"已完成"),"逾期","")</x:f>
      </x:c>
    </x:row>
    <x:row r="19" ht="38" customHeight="1">
      <x:c r="A19" s="45" t="n">
        <x:v>14</x:v>
      </x:c>
      <x:c r="B19" s="48" t="str"/>
      <x:c r="C19" s="48" t="str"/>
      <x:c r="D19" s="48" t="str"/>
      <x:c r="E19" s="48" t="str"/>
      <x:c r="F19" s="54"/>
      <x:c r="G19" s="54"/>
      <x:c r="H19" s="48" t="str">
        <x:v>未開始</x:v>
      </x:c>
      <x:c r="I19" s="48" t="str"/>
      <x:c r="J19" s="48" t="str"/>
      <x:c r="K19" s="48" t="str"/>
      <x:c r="L19" s="48" t="str"/>
      <x:c r="M19" s="70" t="str">
        <x:f>IF(AND(G19&lt;&gt;"",G19&lt;TODAY(),H19&lt;&gt;"已完成"),"逾期","")</x:f>
      </x:c>
    </x:row>
    <x:row r="20" ht="38" customHeight="1">
      <x:c r="A20" s="45" t="n">
        <x:v>15</x:v>
      </x:c>
      <x:c r="B20" s="48" t="str"/>
      <x:c r="C20" s="48" t="str"/>
      <x:c r="D20" s="48" t="str"/>
      <x:c r="E20" s="48" t="str"/>
      <x:c r="F20" s="54"/>
      <x:c r="G20" s="54"/>
      <x:c r="H20" s="48" t="str">
        <x:v>未開始</x:v>
      </x:c>
      <x:c r="I20" s="48" t="str"/>
      <x:c r="J20" s="48" t="str"/>
      <x:c r="K20" s="48" t="str"/>
      <x:c r="L20" s="48" t="str"/>
      <x:c r="M20" s="70" t="str">
        <x:f>IF(AND(G20&lt;&gt;"",G20&lt;TODAY(),H20&lt;&gt;"已完成"),"逾期","")</x:f>
      </x:c>
    </x:row>
    <x:row r="21" ht="38" customHeight="1">
      <x:c r="A21" s="45" t="n">
        <x:v>16</x:v>
      </x:c>
      <x:c r="B21" s="48" t="str"/>
      <x:c r="C21" s="48" t="str"/>
      <x:c r="D21" s="48" t="str"/>
      <x:c r="E21" s="48" t="str"/>
      <x:c r="F21" s="54"/>
      <x:c r="G21" s="54"/>
      <x:c r="H21" s="48" t="str">
        <x:v>未開始</x:v>
      </x:c>
      <x:c r="I21" s="48" t="str"/>
      <x:c r="J21" s="48" t="str"/>
      <x:c r="K21" s="48" t="str"/>
      <x:c r="L21" s="48" t="str"/>
      <x:c r="M21" s="70" t="str">
        <x:f>IF(AND(G21&lt;&gt;"",G21&lt;TODAY(),H21&lt;&gt;"已完成"),"逾期","")</x:f>
      </x:c>
    </x:row>
    <x:row r="22" ht="38" customHeight="1">
      <x:c r="A22" s="45" t="n">
        <x:v>17</x:v>
      </x:c>
      <x:c r="B22" s="48" t="str"/>
      <x:c r="C22" s="48" t="str"/>
      <x:c r="D22" s="48" t="str"/>
      <x:c r="E22" s="48" t="str"/>
      <x:c r="F22" s="54"/>
      <x:c r="G22" s="54"/>
      <x:c r="H22" s="48" t="str">
        <x:v>未開始</x:v>
      </x:c>
      <x:c r="I22" s="48" t="str"/>
      <x:c r="J22" s="48" t="str"/>
      <x:c r="K22" s="48" t="str"/>
      <x:c r="L22" s="48" t="str"/>
      <x:c r="M22" s="70" t="str">
        <x:f>IF(AND(G22&lt;&gt;"",G22&lt;TODAY(),H22&lt;&gt;"已完成"),"逾期","")</x:f>
      </x:c>
    </x:row>
    <x:row r="23" ht="38" customHeight="1">
      <x:c r="A23" s="45" t="n">
        <x:v>18</x:v>
      </x:c>
      <x:c r="B23" s="48" t="str"/>
      <x:c r="C23" s="48" t="str"/>
      <x:c r="D23" s="48" t="str"/>
      <x:c r="E23" s="48" t="str"/>
      <x:c r="F23" s="54"/>
      <x:c r="G23" s="54"/>
      <x:c r="H23" s="48" t="str">
        <x:v>未開始</x:v>
      </x:c>
      <x:c r="I23" s="48" t="str"/>
      <x:c r="J23" s="48" t="str"/>
      <x:c r="K23" s="48" t="str"/>
      <x:c r="L23" s="48" t="str"/>
      <x:c r="M23" s="70" t="str">
        <x:f>IF(AND(G23&lt;&gt;"",G23&lt;TODAY(),H23&lt;&gt;"已完成"),"逾期","")</x:f>
      </x:c>
    </x:row>
    <x:row r="24" ht="38" customHeight="1">
      <x:c r="A24" s="45" t="n">
        <x:v>19</x:v>
      </x:c>
      <x:c r="B24" s="48" t="str"/>
      <x:c r="C24" s="48" t="str"/>
      <x:c r="D24" s="48" t="str"/>
      <x:c r="E24" s="48" t="str"/>
      <x:c r="F24" s="54"/>
      <x:c r="G24" s="54"/>
      <x:c r="H24" s="48" t="str">
        <x:v>未開始</x:v>
      </x:c>
      <x:c r="I24" s="48" t="str"/>
      <x:c r="J24" s="48" t="str"/>
      <x:c r="K24" s="48" t="str"/>
      <x:c r="L24" s="48" t="str"/>
      <x:c r="M24" s="70" t="str">
        <x:f>IF(AND(G24&lt;&gt;"",G24&lt;TODAY(),H24&lt;&gt;"已完成"),"逾期","")</x:f>
      </x:c>
    </x:row>
    <x:row r="25" ht="38" customHeight="1">
      <x:c r="A25" s="45" t="n">
        <x:v>20</x:v>
      </x:c>
      <x:c r="B25" s="48" t="str"/>
      <x:c r="C25" s="48" t="str"/>
      <x:c r="D25" s="48" t="str"/>
      <x:c r="E25" s="48" t="str"/>
      <x:c r="F25" s="54"/>
      <x:c r="G25" s="54"/>
      <x:c r="H25" s="48" t="str">
        <x:v>未開始</x:v>
      </x:c>
      <x:c r="I25" s="48" t="str"/>
      <x:c r="J25" s="48" t="str"/>
      <x:c r="K25" s="48" t="str"/>
      <x:c r="L25" s="48" t="str"/>
      <x:c r="M25" s="70" t="str">
        <x:f>IF(AND(G25&lt;&gt;"",G25&lt;TODAY(),H25&lt;&gt;"已完成"),"逾期","")</x:f>
      </x:c>
    </x:row>
    <x:row r="26" ht="38" customHeight="1">
      <x:c r="A26" s="45" t="n">
        <x:v>21</x:v>
      </x:c>
      <x:c r="B26" s="48" t="str"/>
      <x:c r="C26" s="48" t="str"/>
      <x:c r="D26" s="48" t="str"/>
      <x:c r="E26" s="48" t="str"/>
      <x:c r="F26" s="54"/>
      <x:c r="G26" s="54"/>
      <x:c r="H26" s="48" t="str">
        <x:v>未開始</x:v>
      </x:c>
      <x:c r="I26" s="48" t="str"/>
      <x:c r="J26" s="48" t="str"/>
      <x:c r="K26" s="48" t="str"/>
      <x:c r="L26" s="48" t="str"/>
      <x:c r="M26" s="70" t="str">
        <x:f>IF(AND(G26&lt;&gt;"",G26&lt;TODAY(),H26&lt;&gt;"已完成"),"逾期","")</x:f>
      </x:c>
    </x:row>
    <x:row r="27" ht="38" customHeight="1">
      <x:c r="A27" s="45" t="n">
        <x:v>22</x:v>
      </x:c>
      <x:c r="B27" s="48" t="str"/>
      <x:c r="C27" s="48" t="str"/>
      <x:c r="D27" s="48" t="str"/>
      <x:c r="E27" s="48" t="str"/>
      <x:c r="F27" s="54"/>
      <x:c r="G27" s="54"/>
      <x:c r="H27" s="48" t="str">
        <x:v>未開始</x:v>
      </x:c>
      <x:c r="I27" s="48" t="str"/>
      <x:c r="J27" s="48" t="str"/>
      <x:c r="K27" s="48" t="str"/>
      <x:c r="L27" s="48" t="str"/>
      <x:c r="M27" s="70" t="str">
        <x:f>IF(AND(G27&lt;&gt;"",G27&lt;TODAY(),H27&lt;&gt;"已完成"),"逾期","")</x:f>
      </x:c>
    </x:row>
    <x:row r="28" ht="38" customHeight="1">
      <x:c r="A28" s="45" t="n">
        <x:v>23</x:v>
      </x:c>
      <x:c r="B28" s="48" t="str"/>
      <x:c r="C28" s="48" t="str"/>
      <x:c r="D28" s="48" t="str"/>
      <x:c r="E28" s="48" t="str"/>
      <x:c r="F28" s="54"/>
      <x:c r="G28" s="54"/>
      <x:c r="H28" s="48" t="str">
        <x:v>未開始</x:v>
      </x:c>
      <x:c r="I28" s="48" t="str"/>
      <x:c r="J28" s="48" t="str"/>
      <x:c r="K28" s="48" t="str"/>
      <x:c r="L28" s="48" t="str"/>
      <x:c r="M28" s="70" t="str">
        <x:f>IF(AND(G28&lt;&gt;"",G28&lt;TODAY(),H28&lt;&gt;"已完成"),"逾期","")</x:f>
      </x:c>
    </x:row>
    <x:row r="29" ht="38" customHeight="1">
      <x:c r="A29" s="45" t="n">
        <x:v>24</x:v>
      </x:c>
      <x:c r="B29" s="48" t="str"/>
      <x:c r="C29" s="48" t="str"/>
      <x:c r="D29" s="48" t="str"/>
      <x:c r="E29" s="48" t="str"/>
      <x:c r="F29" s="54"/>
      <x:c r="G29" s="54"/>
      <x:c r="H29" s="48" t="str">
        <x:v>未開始</x:v>
      </x:c>
      <x:c r="I29" s="48" t="str"/>
      <x:c r="J29" s="48" t="str"/>
      <x:c r="K29" s="48" t="str"/>
      <x:c r="L29" s="48" t="str"/>
      <x:c r="M29" s="70" t="str">
        <x:f>IF(AND(G29&lt;&gt;"",G29&lt;TODAY(),H29&lt;&gt;"已完成"),"逾期","")</x:f>
      </x:c>
    </x:row>
    <x:row r="30" ht="38" customHeight="1">
      <x:c r="A30" s="45" t="n">
        <x:v>25</x:v>
      </x:c>
      <x:c r="B30" s="48" t="str"/>
      <x:c r="C30" s="48" t="str"/>
      <x:c r="D30" s="48" t="str"/>
      <x:c r="E30" s="48" t="str"/>
      <x:c r="F30" s="54"/>
      <x:c r="G30" s="54"/>
      <x:c r="H30" s="48" t="str">
        <x:v>未開始</x:v>
      </x:c>
      <x:c r="I30" s="48" t="str"/>
      <x:c r="J30" s="48" t="str"/>
      <x:c r="K30" s="48" t="str"/>
      <x:c r="L30" s="48" t="str"/>
      <x:c r="M30" s="70" t="str">
        <x:f>IF(AND(G30&lt;&gt;"",G30&lt;TODAY(),H30&lt;&gt;"已完成"),"逾期","")</x:f>
      </x:c>
    </x:row>
    <x:row r="31" ht="38" customHeight="1">
      <x:c r="A31" s="45" t="n">
        <x:v>26</x:v>
      </x:c>
      <x:c r="B31" s="48" t="str"/>
      <x:c r="C31" s="48" t="str"/>
      <x:c r="D31" s="48" t="str"/>
      <x:c r="E31" s="48" t="str"/>
      <x:c r="F31" s="54"/>
      <x:c r="G31" s="54"/>
      <x:c r="H31" s="48" t="str">
        <x:v>未開始</x:v>
      </x:c>
      <x:c r="I31" s="48" t="str"/>
      <x:c r="J31" s="48" t="str"/>
      <x:c r="K31" s="48" t="str"/>
      <x:c r="L31" s="48" t="str"/>
      <x:c r="M31" s="70" t="str">
        <x:f>IF(AND(G31&lt;&gt;"",G31&lt;TODAY(),H31&lt;&gt;"已完成"),"逾期","")</x:f>
      </x:c>
    </x:row>
    <x:row r="32" ht="38" customHeight="1">
      <x:c r="A32" s="45" t="n">
        <x:v>27</x:v>
      </x:c>
      <x:c r="B32" s="48" t="str"/>
      <x:c r="C32" s="48" t="str"/>
      <x:c r="D32" s="48" t="str"/>
      <x:c r="E32" s="48" t="str"/>
      <x:c r="F32" s="54"/>
      <x:c r="G32" s="54"/>
      <x:c r="H32" s="48" t="str">
        <x:v>未開始</x:v>
      </x:c>
      <x:c r="I32" s="48" t="str"/>
      <x:c r="J32" s="48" t="str"/>
      <x:c r="K32" s="48" t="str"/>
      <x:c r="L32" s="48" t="str"/>
      <x:c r="M32" s="70" t="str">
        <x:f>IF(AND(G32&lt;&gt;"",G32&lt;TODAY(),H32&lt;&gt;"已完成"),"逾期","")</x:f>
      </x:c>
    </x:row>
    <x:row r="33" ht="38" customHeight="1">
      <x:c r="A33" s="45" t="n">
        <x:v>28</x:v>
      </x:c>
      <x:c r="B33" s="48" t="str"/>
      <x:c r="C33" s="48" t="str"/>
      <x:c r="D33" s="48" t="str"/>
      <x:c r="E33" s="48" t="str"/>
      <x:c r="F33" s="54"/>
      <x:c r="G33" s="54"/>
      <x:c r="H33" s="48" t="str">
        <x:v>未開始</x:v>
      </x:c>
      <x:c r="I33" s="48" t="str"/>
      <x:c r="J33" s="48" t="str"/>
      <x:c r="K33" s="48" t="str"/>
      <x:c r="L33" s="48" t="str"/>
      <x:c r="M33" s="70" t="str">
        <x:f>IF(AND(G33&lt;&gt;"",G33&lt;TODAY(),H33&lt;&gt;"已完成"),"逾期","")</x:f>
      </x:c>
    </x:row>
    <x:row r="34" ht="38" customHeight="1">
      <x:c r="A34" s="45" t="n">
        <x:v>29</x:v>
      </x:c>
      <x:c r="B34" s="48" t="str"/>
      <x:c r="C34" s="48" t="str"/>
      <x:c r="D34" s="48" t="str"/>
      <x:c r="E34" s="48" t="str"/>
      <x:c r="F34" s="54"/>
      <x:c r="G34" s="54"/>
      <x:c r="H34" s="48" t="str">
        <x:v>未開始</x:v>
      </x:c>
      <x:c r="I34" s="48" t="str"/>
      <x:c r="J34" s="48" t="str"/>
      <x:c r="K34" s="48" t="str"/>
      <x:c r="L34" s="48" t="str"/>
      <x:c r="M34" s="70" t="str">
        <x:f>IF(AND(G34&lt;&gt;"",G34&lt;TODAY(),H34&lt;&gt;"已完成"),"逾期","")</x:f>
      </x:c>
    </x:row>
    <x:row r="35" ht="38" customHeight="1">
      <x:c r="A35" s="45" t="n">
        <x:v>30</x:v>
      </x:c>
      <x:c r="B35" s="48" t="str"/>
      <x:c r="C35" s="48" t="str"/>
      <x:c r="D35" s="48" t="str"/>
      <x:c r="E35" s="48" t="str"/>
      <x:c r="F35" s="54"/>
      <x:c r="G35" s="54"/>
      <x:c r="H35" s="48" t="str">
        <x:v>未開始</x:v>
      </x:c>
      <x:c r="I35" s="48" t="str"/>
      <x:c r="J35" s="48" t="str"/>
      <x:c r="K35" s="48" t="str"/>
      <x:c r="L35" s="48" t="str"/>
      <x:c r="M35" s="70" t="str">
        <x:f>IF(AND(G35&lt;&gt;"",G35&lt;TODAY(),H35&lt;&gt;"已完成"),"逾期","")</x:f>
      </x:c>
    </x:row>
    <x:row r="36" ht="38" customHeight="1">
      <x:c r="A36" s="45" t="n">
        <x:v>31</x:v>
      </x:c>
      <x:c r="B36" s="48" t="str"/>
      <x:c r="C36" s="48" t="str"/>
      <x:c r="D36" s="48" t="str"/>
      <x:c r="E36" s="48" t="str"/>
      <x:c r="F36" s="54"/>
      <x:c r="G36" s="54"/>
      <x:c r="H36" s="48" t="str">
        <x:v>未開始</x:v>
      </x:c>
      <x:c r="I36" s="48" t="str"/>
      <x:c r="J36" s="48" t="str"/>
      <x:c r="K36" s="48" t="str"/>
      <x:c r="L36" s="48" t="str"/>
      <x:c r="M36" s="70" t="str">
        <x:f>IF(AND(G36&lt;&gt;"",G36&lt;TODAY(),H36&lt;&gt;"已完成"),"逾期","")</x:f>
      </x:c>
    </x:row>
    <x:row r="37" ht="38" customHeight="1">
      <x:c r="A37" s="45" t="n">
        <x:v>32</x:v>
      </x:c>
      <x:c r="B37" s="48" t="str"/>
      <x:c r="C37" s="48" t="str"/>
      <x:c r="D37" s="48" t="str"/>
      <x:c r="E37" s="48" t="str"/>
      <x:c r="F37" s="54"/>
      <x:c r="G37" s="54"/>
      <x:c r="H37" s="48" t="str">
        <x:v>未開始</x:v>
      </x:c>
      <x:c r="I37" s="48" t="str"/>
      <x:c r="J37" s="48" t="str"/>
      <x:c r="K37" s="48" t="str"/>
      <x:c r="L37" s="48" t="str"/>
      <x:c r="M37" s="70" t="str">
        <x:f>IF(AND(G37&lt;&gt;"",G37&lt;TODAY(),H37&lt;&gt;"已完成"),"逾期","")</x:f>
      </x:c>
    </x:row>
    <x:row r="38" ht="38" customHeight="1">
      <x:c r="A38" s="45" t="n">
        <x:v>33</x:v>
      </x:c>
      <x:c r="B38" s="48" t="str"/>
      <x:c r="C38" s="48" t="str"/>
      <x:c r="D38" s="48" t="str"/>
      <x:c r="E38" s="48" t="str"/>
      <x:c r="F38" s="54"/>
      <x:c r="G38" s="54"/>
      <x:c r="H38" s="48" t="str">
        <x:v>未開始</x:v>
      </x:c>
      <x:c r="I38" s="48" t="str"/>
      <x:c r="J38" s="48" t="str"/>
      <x:c r="K38" s="48" t="str"/>
      <x:c r="L38" s="48" t="str"/>
      <x:c r="M38" s="70" t="str">
        <x:f>IF(AND(G38&lt;&gt;"",G38&lt;TODAY(),H38&lt;&gt;"已完成"),"逾期","")</x:f>
      </x:c>
    </x:row>
    <x:row r="39" ht="38" customHeight="1">
      <x:c r="A39" s="45" t="n">
        <x:v>34</x:v>
      </x:c>
      <x:c r="B39" s="48" t="str"/>
      <x:c r="C39" s="48" t="str"/>
      <x:c r="D39" s="48" t="str"/>
      <x:c r="E39" s="48" t="str"/>
      <x:c r="F39" s="54"/>
      <x:c r="G39" s="54"/>
      <x:c r="H39" s="48" t="str">
        <x:v>未開始</x:v>
      </x:c>
      <x:c r="I39" s="48" t="str"/>
      <x:c r="J39" s="48" t="str"/>
      <x:c r="K39" s="48" t="str"/>
      <x:c r="L39" s="48" t="str"/>
      <x:c r="M39" s="70" t="str">
        <x:f>IF(AND(G39&lt;&gt;"",G39&lt;TODAY(),H39&lt;&gt;"已完成"),"逾期","")</x:f>
      </x:c>
    </x:row>
    <x:row r="40" ht="38" customHeight="1">
      <x:c r="A40" s="45" t="n">
        <x:v>35</x:v>
      </x:c>
      <x:c r="B40" s="48" t="str"/>
      <x:c r="C40" s="48" t="str"/>
      <x:c r="D40" s="48" t="str"/>
      <x:c r="E40" s="48" t="str"/>
      <x:c r="F40" s="54"/>
      <x:c r="G40" s="54"/>
      <x:c r="H40" s="48" t="str">
        <x:v>未開始</x:v>
      </x:c>
      <x:c r="I40" s="48" t="str"/>
      <x:c r="J40" s="48" t="str"/>
      <x:c r="K40" s="48" t="str"/>
      <x:c r="L40" s="48" t="str"/>
      <x:c r="M40" s="70" t="str">
        <x:f>IF(AND(G40&lt;&gt;"",G40&lt;TODAY(),H40&lt;&gt;"已完成"),"逾期","")</x:f>
      </x:c>
    </x:row>
    <x:row r="41" ht="38" customHeight="1">
      <x:c r="A41" s="45" t="n">
        <x:v>36</x:v>
      </x:c>
      <x:c r="B41" s="48" t="str"/>
      <x:c r="C41" s="48" t="str"/>
      <x:c r="D41" s="48" t="str"/>
      <x:c r="E41" s="48" t="str"/>
      <x:c r="F41" s="54"/>
      <x:c r="G41" s="54"/>
      <x:c r="H41" s="48" t="str">
        <x:v>未開始</x:v>
      </x:c>
      <x:c r="I41" s="48" t="str"/>
      <x:c r="J41" s="48" t="str"/>
      <x:c r="K41" s="48" t="str"/>
      <x:c r="L41" s="48" t="str"/>
      <x:c r="M41" s="70" t="str">
        <x:f>IF(AND(G41&lt;&gt;"",G41&lt;TODAY(),H41&lt;&gt;"已完成"),"逾期","")</x:f>
      </x:c>
    </x:row>
    <x:row r="42" ht="38" customHeight="1">
      <x:c r="A42" s="45" t="n">
        <x:v>37</x:v>
      </x:c>
      <x:c r="B42" s="48" t="str"/>
      <x:c r="C42" s="48" t="str"/>
      <x:c r="D42" s="48" t="str"/>
      <x:c r="E42" s="48" t="str"/>
      <x:c r="F42" s="54"/>
      <x:c r="G42" s="54"/>
      <x:c r="H42" s="48" t="str">
        <x:v>未開始</x:v>
      </x:c>
      <x:c r="I42" s="48" t="str"/>
      <x:c r="J42" s="48" t="str"/>
      <x:c r="K42" s="48" t="str"/>
      <x:c r="L42" s="48" t="str"/>
      <x:c r="M42" s="70" t="str">
        <x:f>IF(AND(G42&lt;&gt;"",G42&lt;TODAY(),H42&lt;&gt;"已完成"),"逾期","")</x:f>
      </x:c>
    </x:row>
    <x:row r="43" ht="38" customHeight="1">
      <x:c r="A43" s="45" t="n">
        <x:v>38</x:v>
      </x:c>
      <x:c r="B43" s="48" t="str"/>
      <x:c r="C43" s="48" t="str"/>
      <x:c r="D43" s="48" t="str"/>
      <x:c r="E43" s="48" t="str"/>
      <x:c r="F43" s="54"/>
      <x:c r="G43" s="54"/>
      <x:c r="H43" s="48" t="str">
        <x:v>未開始</x:v>
      </x:c>
      <x:c r="I43" s="48" t="str"/>
      <x:c r="J43" s="48" t="str"/>
      <x:c r="K43" s="48" t="str"/>
      <x:c r="L43" s="48" t="str"/>
      <x:c r="M43" s="70" t="str">
        <x:f>IF(AND(G43&lt;&gt;"",G43&lt;TODAY(),H43&lt;&gt;"已完成"),"逾期","")</x:f>
      </x:c>
    </x:row>
    <x:row r="44" ht="38" customHeight="1">
      <x:c r="A44" s="45" t="n">
        <x:v>39</x:v>
      </x:c>
      <x:c r="B44" s="48" t="str"/>
      <x:c r="C44" s="48" t="str"/>
      <x:c r="D44" s="48" t="str"/>
      <x:c r="E44" s="48" t="str"/>
      <x:c r="F44" s="54"/>
      <x:c r="G44" s="54"/>
      <x:c r="H44" s="48" t="str">
        <x:v>未開始</x:v>
      </x:c>
      <x:c r="I44" s="48" t="str"/>
      <x:c r="J44" s="48" t="str"/>
      <x:c r="K44" s="48" t="str"/>
      <x:c r="L44" s="48" t="str"/>
      <x:c r="M44" s="70" t="str">
        <x:f>IF(AND(G44&lt;&gt;"",G44&lt;TODAY(),H44&lt;&gt;"已完成"),"逾期","")</x:f>
      </x:c>
    </x:row>
    <x:row r="45" ht="38" customHeight="1">
      <x:c r="A45" s="45" t="n">
        <x:v>40</x:v>
      </x:c>
      <x:c r="B45" s="48" t="str"/>
      <x:c r="C45" s="48" t="str"/>
      <x:c r="D45" s="48" t="str"/>
      <x:c r="E45" s="48" t="str"/>
      <x:c r="F45" s="54"/>
      <x:c r="G45" s="54"/>
      <x:c r="H45" s="48" t="str">
        <x:v>未開始</x:v>
      </x:c>
      <x:c r="I45" s="48" t="str"/>
      <x:c r="J45" s="48" t="str"/>
      <x:c r="K45" s="48" t="str"/>
      <x:c r="L45" s="48" t="str"/>
      <x:c r="M45" s="70" t="str">
        <x:f>IF(AND(G45&lt;&gt;"",G45&lt;TODAY(),H45&lt;&gt;"已完成"),"逾期","")</x:f>
      </x:c>
    </x:row>
    <x:row r="46" ht="38" customHeight="1">
      <x:c r="A46" s="45" t="n">
        <x:v>41</x:v>
      </x:c>
      <x:c r="B46" s="48" t="str"/>
      <x:c r="C46" s="48" t="str"/>
      <x:c r="D46" s="48" t="str"/>
      <x:c r="E46" s="48" t="str"/>
      <x:c r="F46" s="54"/>
      <x:c r="G46" s="54"/>
      <x:c r="H46" s="48" t="str">
        <x:v>未開始</x:v>
      </x:c>
      <x:c r="I46" s="48" t="str"/>
      <x:c r="J46" s="48" t="str"/>
      <x:c r="K46" s="48" t="str"/>
      <x:c r="L46" s="48" t="str"/>
      <x:c r="M46" s="70" t="str">
        <x:f>IF(AND(G46&lt;&gt;"",G46&lt;TODAY(),H46&lt;&gt;"已完成"),"逾期","")</x:f>
      </x:c>
    </x:row>
    <x:row r="47" ht="38" customHeight="1">
      <x:c r="A47" s="45" t="n">
        <x:v>42</x:v>
      </x:c>
      <x:c r="B47" s="48" t="str"/>
      <x:c r="C47" s="48" t="str"/>
      <x:c r="D47" s="48" t="str"/>
      <x:c r="E47" s="48" t="str"/>
      <x:c r="F47" s="54"/>
      <x:c r="G47" s="54"/>
      <x:c r="H47" s="48" t="str">
        <x:v>未開始</x:v>
      </x:c>
      <x:c r="I47" s="48" t="str"/>
      <x:c r="J47" s="48" t="str"/>
      <x:c r="K47" s="48" t="str"/>
      <x:c r="L47" s="48" t="str"/>
      <x:c r="M47" s="70" t="str">
        <x:f>IF(AND(G47&lt;&gt;"",G47&lt;TODAY(),H47&lt;&gt;"已完成"),"逾期","")</x:f>
      </x:c>
    </x:row>
    <x:row r="48" ht="38" customHeight="1">
      <x:c r="A48" s="45" t="n">
        <x:v>43</x:v>
      </x:c>
      <x:c r="B48" s="48" t="str"/>
      <x:c r="C48" s="48" t="str"/>
      <x:c r="D48" s="48" t="str"/>
      <x:c r="E48" s="48" t="str"/>
      <x:c r="F48" s="54"/>
      <x:c r="G48" s="54"/>
      <x:c r="H48" s="48" t="str">
        <x:v>未開始</x:v>
      </x:c>
      <x:c r="I48" s="48" t="str"/>
      <x:c r="J48" s="48" t="str"/>
      <x:c r="K48" s="48" t="str"/>
      <x:c r="L48" s="48" t="str"/>
      <x:c r="M48" s="70" t="str">
        <x:f>IF(AND(G48&lt;&gt;"",G48&lt;TODAY(),H48&lt;&gt;"已完成"),"逾期","")</x:f>
      </x:c>
    </x:row>
    <x:row r="49" ht="38" customHeight="1">
      <x:c r="A49" s="45" t="n">
        <x:v>44</x:v>
      </x:c>
      <x:c r="B49" s="48" t="str"/>
      <x:c r="C49" s="48" t="str"/>
      <x:c r="D49" s="48" t="str"/>
      <x:c r="E49" s="48" t="str"/>
      <x:c r="F49" s="54"/>
      <x:c r="G49" s="54"/>
      <x:c r="H49" s="48" t="str">
        <x:v>未開始</x:v>
      </x:c>
      <x:c r="I49" s="48" t="str"/>
      <x:c r="J49" s="48" t="str"/>
      <x:c r="K49" s="48" t="str"/>
      <x:c r="L49" s="48" t="str"/>
      <x:c r="M49" s="70" t="str">
        <x:f>IF(AND(G49&lt;&gt;"",G49&lt;TODAY(),H49&lt;&gt;"已完成"),"逾期","")</x:f>
      </x:c>
    </x:row>
    <x:row r="50" ht="38" customHeight="1">
      <x:c r="A50" s="45" t="n">
        <x:v>45</x:v>
      </x:c>
      <x:c r="B50" s="48" t="str"/>
      <x:c r="C50" s="48" t="str"/>
      <x:c r="D50" s="48" t="str"/>
      <x:c r="E50" s="48" t="str"/>
      <x:c r="F50" s="54"/>
      <x:c r="G50" s="54"/>
      <x:c r="H50" s="48" t="str">
        <x:v>未開始</x:v>
      </x:c>
      <x:c r="I50" s="48" t="str"/>
      <x:c r="J50" s="48" t="str"/>
      <x:c r="K50" s="48" t="str"/>
      <x:c r="L50" s="48" t="str"/>
      <x:c r="M50" s="70" t="str">
        <x:f>IF(AND(G50&lt;&gt;"",G50&lt;TODAY(),H50&lt;&gt;"已完成"),"逾期","")</x:f>
      </x:c>
    </x:row>
    <x:row r="51" ht="38" customHeight="1">
      <x:c r="A51" s="45" t="n">
        <x:v>46</x:v>
      </x:c>
      <x:c r="B51" s="48" t="str"/>
      <x:c r="C51" s="48" t="str"/>
      <x:c r="D51" s="48" t="str"/>
      <x:c r="E51" s="48" t="str"/>
      <x:c r="F51" s="54"/>
      <x:c r="G51" s="54"/>
      <x:c r="H51" s="48" t="str">
        <x:v>未開始</x:v>
      </x:c>
      <x:c r="I51" s="48" t="str"/>
      <x:c r="J51" s="48" t="str"/>
      <x:c r="K51" s="48" t="str"/>
      <x:c r="L51" s="48" t="str"/>
      <x:c r="M51" s="70" t="str">
        <x:f>IF(AND(G51&lt;&gt;"",G51&lt;TODAY(),H51&lt;&gt;"已完成"),"逾期","")</x:f>
      </x:c>
    </x:row>
    <x:row r="52" ht="38" customHeight="1">
      <x:c r="A52" s="45" t="n">
        <x:v>47</x:v>
      </x:c>
      <x:c r="B52" s="48" t="str"/>
      <x:c r="C52" s="48" t="str"/>
      <x:c r="D52" s="48" t="str"/>
      <x:c r="E52" s="48" t="str"/>
      <x:c r="F52" s="54"/>
      <x:c r="G52" s="54"/>
      <x:c r="H52" s="48" t="str">
        <x:v>未開始</x:v>
      </x:c>
      <x:c r="I52" s="48" t="str"/>
      <x:c r="J52" s="48" t="str"/>
      <x:c r="K52" s="48" t="str"/>
      <x:c r="L52" s="48" t="str"/>
      <x:c r="M52" s="70" t="str">
        <x:f>IF(AND(G52&lt;&gt;"",G52&lt;TODAY(),H52&lt;&gt;"已完成"),"逾期","")</x:f>
      </x:c>
    </x:row>
    <x:row r="53" ht="38" customHeight="1">
      <x:c r="A53" s="45" t="n">
        <x:v>48</x:v>
      </x:c>
      <x:c r="B53" s="48" t="str"/>
      <x:c r="C53" s="48" t="str"/>
      <x:c r="D53" s="48" t="str"/>
      <x:c r="E53" s="48" t="str"/>
      <x:c r="F53" s="54"/>
      <x:c r="G53" s="54"/>
      <x:c r="H53" s="48" t="str">
        <x:v>未開始</x:v>
      </x:c>
      <x:c r="I53" s="48" t="str"/>
      <x:c r="J53" s="48" t="str"/>
      <x:c r="K53" s="48" t="str"/>
      <x:c r="L53" s="48" t="str"/>
      <x:c r="M53" s="70" t="str">
        <x:f>IF(AND(G53&lt;&gt;"",G53&lt;TODAY(),H53&lt;&gt;"已完成"),"逾期","")</x:f>
      </x:c>
    </x:row>
    <x:row r="54" ht="38" customHeight="1">
      <x:c r="A54" s="45" t="n">
        <x:v>49</x:v>
      </x:c>
      <x:c r="B54" s="48" t="str"/>
      <x:c r="C54" s="48" t="str"/>
      <x:c r="D54" s="48" t="str"/>
      <x:c r="E54" s="48" t="str"/>
      <x:c r="F54" s="54"/>
      <x:c r="G54" s="54"/>
      <x:c r="H54" s="48" t="str">
        <x:v>未開始</x:v>
      </x:c>
      <x:c r="I54" s="48" t="str"/>
      <x:c r="J54" s="48" t="str"/>
      <x:c r="K54" s="48" t="str"/>
      <x:c r="L54" s="48" t="str"/>
      <x:c r="M54" s="70" t="str">
        <x:f>IF(AND(G54&lt;&gt;"",G54&lt;TODAY(),H54&lt;&gt;"已完成"),"逾期","")</x:f>
      </x:c>
    </x:row>
    <x:row r="55" ht="38" customHeight="1">
      <x:c r="A55" s="45" t="n">
        <x:v>50</x:v>
      </x:c>
      <x:c r="B55" s="48" t="str"/>
      <x:c r="C55" s="48" t="str"/>
      <x:c r="D55" s="48" t="str"/>
      <x:c r="E55" s="48" t="str"/>
      <x:c r="F55" s="54"/>
      <x:c r="G55" s="54"/>
      <x:c r="H55" s="48" t="str">
        <x:v>未開始</x:v>
      </x:c>
      <x:c r="I55" s="48" t="str"/>
      <x:c r="J55" s="48" t="str"/>
      <x:c r="K55" s="48" t="str"/>
      <x:c r="L55" s="48" t="str"/>
      <x:c r="M55" s="70" t="str">
        <x:f>IF(AND(G55&lt;&gt;"",G55&lt;TODAY(),H55&lt;&gt;"已完成"),"逾期","")</x:f>
      </x:c>
    </x:row>
    <x:row r="56" ht="38" customHeight="1">
      <x:c r="A56" s="45" t="n">
        <x:v>51</x:v>
      </x:c>
      <x:c r="B56" s="48" t="str"/>
      <x:c r="C56" s="48" t="str"/>
      <x:c r="D56" s="48" t="str"/>
      <x:c r="E56" s="48" t="str"/>
      <x:c r="F56" s="54"/>
      <x:c r="G56" s="54"/>
      <x:c r="H56" s="48" t="str">
        <x:v>未開始</x:v>
      </x:c>
      <x:c r="I56" s="48" t="str"/>
      <x:c r="J56" s="48" t="str"/>
      <x:c r="K56" s="48" t="str"/>
      <x:c r="L56" s="48" t="str"/>
      <x:c r="M56" s="70" t="str">
        <x:f>IF(AND(G56&lt;&gt;"",G56&lt;TODAY(),H56&lt;&gt;"已完成"),"逾期","")</x:f>
      </x:c>
    </x:row>
    <x:row r="57" ht="38" customHeight="1">
      <x:c r="A57" s="45" t="n">
        <x:v>52</x:v>
      </x:c>
      <x:c r="B57" s="48" t="str"/>
      <x:c r="C57" s="48" t="str"/>
      <x:c r="D57" s="48" t="str"/>
      <x:c r="E57" s="48" t="str"/>
      <x:c r="F57" s="54"/>
      <x:c r="G57" s="54"/>
      <x:c r="H57" s="48" t="str">
        <x:v>未開始</x:v>
      </x:c>
      <x:c r="I57" s="48" t="str"/>
      <x:c r="J57" s="48" t="str"/>
      <x:c r="K57" s="48" t="str"/>
      <x:c r="L57" s="48" t="str"/>
      <x:c r="M57" s="70" t="str">
        <x:f>IF(AND(G57&lt;&gt;"",G57&lt;TODAY(),H57&lt;&gt;"已完成"),"逾期","")</x:f>
      </x:c>
    </x:row>
    <x:row r="58" ht="38" customHeight="1">
      <x:c r="A58" s="45" t="n">
        <x:v>53</x:v>
      </x:c>
      <x:c r="B58" s="48" t="str"/>
      <x:c r="C58" s="48" t="str"/>
      <x:c r="D58" s="48" t="str"/>
      <x:c r="E58" s="48" t="str"/>
      <x:c r="F58" s="54"/>
      <x:c r="G58" s="54"/>
      <x:c r="H58" s="48" t="str">
        <x:v>未開始</x:v>
      </x:c>
      <x:c r="I58" s="48" t="str"/>
      <x:c r="J58" s="48" t="str"/>
      <x:c r="K58" s="48" t="str"/>
      <x:c r="L58" s="48" t="str"/>
      <x:c r="M58" s="70" t="str">
        <x:f>IF(AND(G58&lt;&gt;"",G58&lt;TODAY(),H58&lt;&gt;"已完成"),"逾期","")</x:f>
      </x:c>
    </x:row>
    <x:row r="59" ht="38" customHeight="1">
      <x:c r="A59" s="45" t="n">
        <x:v>54</x:v>
      </x:c>
      <x:c r="B59" s="48" t="str"/>
      <x:c r="C59" s="48" t="str"/>
      <x:c r="D59" s="48" t="str"/>
      <x:c r="E59" s="48" t="str"/>
      <x:c r="F59" s="54"/>
      <x:c r="G59" s="54"/>
      <x:c r="H59" s="48" t="str">
        <x:v>未開始</x:v>
      </x:c>
      <x:c r="I59" s="48" t="str"/>
      <x:c r="J59" s="48" t="str"/>
      <x:c r="K59" s="48" t="str"/>
      <x:c r="L59" s="48" t="str"/>
      <x:c r="M59" s="70" t="str">
        <x:f>IF(AND(G59&lt;&gt;"",G59&lt;TODAY(),H59&lt;&gt;"已完成"),"逾期","")</x:f>
      </x:c>
    </x:row>
    <x:row r="60" ht="38" customHeight="1">
      <x:c r="A60" s="45" t="n">
        <x:v>55</x:v>
      </x:c>
      <x:c r="B60" s="48" t="str"/>
      <x:c r="C60" s="48" t="str"/>
      <x:c r="D60" s="48" t="str"/>
      <x:c r="E60" s="48" t="str"/>
      <x:c r="F60" s="54"/>
      <x:c r="G60" s="54"/>
      <x:c r="H60" s="48" t="str">
        <x:v>未開始</x:v>
      </x:c>
      <x:c r="I60" s="48" t="str"/>
      <x:c r="J60" s="48" t="str"/>
      <x:c r="K60" s="48" t="str"/>
      <x:c r="L60" s="48" t="str"/>
      <x:c r="M60" s="70" t="str">
        <x:f>IF(AND(G60&lt;&gt;"",G60&lt;TODAY(),H60&lt;&gt;"已完成"),"逾期","")</x:f>
      </x:c>
    </x:row>
    <x:row r="61" ht="38" customHeight="1">
      <x:c r="A61" s="45" t="n">
        <x:v>56</x:v>
      </x:c>
      <x:c r="B61" s="48" t="str"/>
      <x:c r="C61" s="48" t="str"/>
      <x:c r="D61" s="48" t="str"/>
      <x:c r="E61" s="48" t="str"/>
      <x:c r="F61" s="54"/>
      <x:c r="G61" s="54"/>
      <x:c r="H61" s="48" t="str">
        <x:v>未開始</x:v>
      </x:c>
      <x:c r="I61" s="48" t="str"/>
      <x:c r="J61" s="48" t="str"/>
      <x:c r="K61" s="48" t="str"/>
      <x:c r="L61" s="48" t="str"/>
      <x:c r="M61" s="70" t="str">
        <x:f>IF(AND(G61&lt;&gt;"",G61&lt;TODAY(),H61&lt;&gt;"已完成"),"逾期","")</x:f>
      </x:c>
    </x:row>
    <x:row r="62" ht="38" customHeight="1">
      <x:c r="A62" s="45" t="n">
        <x:v>57</x:v>
      </x:c>
      <x:c r="B62" s="48" t="str"/>
      <x:c r="C62" s="48" t="str"/>
      <x:c r="D62" s="48" t="str"/>
      <x:c r="E62" s="48" t="str"/>
      <x:c r="F62" s="54"/>
      <x:c r="G62" s="54"/>
      <x:c r="H62" s="48" t="str">
        <x:v>未開始</x:v>
      </x:c>
      <x:c r="I62" s="48" t="str"/>
      <x:c r="J62" s="48" t="str"/>
      <x:c r="K62" s="48" t="str"/>
      <x:c r="L62" s="48" t="str"/>
      <x:c r="M62" s="70" t="str">
        <x:f>IF(AND(G62&lt;&gt;"",G62&lt;TODAY(),H62&lt;&gt;"已完成"),"逾期","")</x:f>
      </x:c>
    </x:row>
    <x:row r="63" ht="38" customHeight="1">
      <x:c r="A63" s="45" t="n">
        <x:v>58</x:v>
      </x:c>
      <x:c r="B63" s="48" t="str"/>
      <x:c r="C63" s="48" t="str"/>
      <x:c r="D63" s="48" t="str"/>
      <x:c r="E63" s="48" t="str"/>
      <x:c r="F63" s="54"/>
      <x:c r="G63" s="54"/>
      <x:c r="H63" s="48" t="str">
        <x:v>未開始</x:v>
      </x:c>
      <x:c r="I63" s="48" t="str"/>
      <x:c r="J63" s="48" t="str"/>
      <x:c r="K63" s="48" t="str"/>
      <x:c r="L63" s="48" t="str"/>
      <x:c r="M63" s="70" t="str">
        <x:f>IF(AND(G63&lt;&gt;"",G63&lt;TODAY(),H63&lt;&gt;"已完成"),"逾期","")</x:f>
      </x:c>
    </x:row>
    <x:row r="64" ht="38" customHeight="1">
      <x:c r="A64" s="45" t="n">
        <x:v>59</x:v>
      </x:c>
      <x:c r="B64" s="48" t="str"/>
      <x:c r="C64" s="48" t="str"/>
      <x:c r="D64" s="48" t="str"/>
      <x:c r="E64" s="48" t="str"/>
      <x:c r="F64" s="54"/>
      <x:c r="G64" s="54"/>
      <x:c r="H64" s="48" t="str">
        <x:v>未開始</x:v>
      </x:c>
      <x:c r="I64" s="48" t="str"/>
      <x:c r="J64" s="48" t="str"/>
      <x:c r="K64" s="48" t="str"/>
      <x:c r="L64" s="48" t="str"/>
      <x:c r="M64" s="70" t="str">
        <x:f>IF(AND(G64&lt;&gt;"",G64&lt;TODAY(),H64&lt;&gt;"已完成"),"逾期","")</x:f>
      </x:c>
    </x:row>
    <x:row r="65" ht="38" customHeight="1">
      <x:c r="A65" s="45" t="n">
        <x:v>60</x:v>
      </x:c>
      <x:c r="B65" s="48" t="str"/>
      <x:c r="C65" s="48" t="str"/>
      <x:c r="D65" s="48" t="str"/>
      <x:c r="E65" s="48" t="str"/>
      <x:c r="F65" s="54"/>
      <x:c r="G65" s="54"/>
      <x:c r="H65" s="48" t="str">
        <x:v>未開始</x:v>
      </x:c>
      <x:c r="I65" s="48" t="str"/>
      <x:c r="J65" s="48" t="str"/>
      <x:c r="K65" s="48" t="str"/>
      <x:c r="L65" s="48" t="str"/>
      <x:c r="M65" s="70" t="str">
        <x:f>IF(AND(G65&lt;&gt;"",G65&lt;TODAY(),H65&lt;&gt;"已完成"),"逾期","")</x:f>
      </x:c>
    </x:row>
    <x:row r="66" ht="38" customHeight="1">
      <x:c r="A66" s="45" t="n">
        <x:v>61</x:v>
      </x:c>
      <x:c r="B66" s="48" t="str"/>
      <x:c r="C66" s="48" t="str"/>
      <x:c r="D66" s="48" t="str"/>
      <x:c r="E66" s="48" t="str"/>
      <x:c r="F66" s="54"/>
      <x:c r="G66" s="54"/>
      <x:c r="H66" s="48" t="str">
        <x:v>未開始</x:v>
      </x:c>
      <x:c r="I66" s="48" t="str"/>
      <x:c r="J66" s="48" t="str"/>
      <x:c r="K66" s="48" t="str"/>
      <x:c r="L66" s="48" t="str"/>
      <x:c r="M66" s="70" t="str">
        <x:f>IF(AND(G66&lt;&gt;"",G66&lt;TODAY(),H66&lt;&gt;"已完成"),"逾期","")</x:f>
      </x:c>
    </x:row>
    <x:row r="67" ht="38" customHeight="1">
      <x:c r="A67" s="45" t="n">
        <x:v>62</x:v>
      </x:c>
      <x:c r="B67" s="48" t="str"/>
      <x:c r="C67" s="48" t="str"/>
      <x:c r="D67" s="48" t="str"/>
      <x:c r="E67" s="48" t="str"/>
      <x:c r="F67" s="54"/>
      <x:c r="G67" s="54"/>
      <x:c r="H67" s="48" t="str">
        <x:v>未開始</x:v>
      </x:c>
      <x:c r="I67" s="48" t="str"/>
      <x:c r="J67" s="48" t="str"/>
      <x:c r="K67" s="48" t="str"/>
      <x:c r="L67" s="48" t="str"/>
      <x:c r="M67" s="70" t="str">
        <x:f>IF(AND(G67&lt;&gt;"",G67&lt;TODAY(),H67&lt;&gt;"已完成"),"逾期","")</x:f>
      </x:c>
    </x:row>
    <x:row r="68" ht="38" customHeight="1">
      <x:c r="A68" s="45" t="n">
        <x:v>63</x:v>
      </x:c>
      <x:c r="B68" s="48" t="str"/>
      <x:c r="C68" s="48" t="str"/>
      <x:c r="D68" s="48" t="str"/>
      <x:c r="E68" s="48" t="str"/>
      <x:c r="F68" s="54"/>
      <x:c r="G68" s="54"/>
      <x:c r="H68" s="48" t="str">
        <x:v>未開始</x:v>
      </x:c>
      <x:c r="I68" s="48" t="str"/>
      <x:c r="J68" s="48" t="str"/>
      <x:c r="K68" s="48" t="str"/>
      <x:c r="L68" s="48" t="str"/>
      <x:c r="M68" s="70" t="str">
        <x:f>IF(AND(G68&lt;&gt;"",G68&lt;TODAY(),H68&lt;&gt;"已完成"),"逾期","")</x:f>
      </x:c>
    </x:row>
    <x:row r="69" ht="38" customHeight="1">
      <x:c r="A69" s="45" t="n">
        <x:v>64</x:v>
      </x:c>
      <x:c r="B69" s="48" t="str"/>
      <x:c r="C69" s="48" t="str"/>
      <x:c r="D69" s="48" t="str"/>
      <x:c r="E69" s="48" t="str"/>
      <x:c r="F69" s="54"/>
      <x:c r="G69" s="54"/>
      <x:c r="H69" s="48" t="str">
        <x:v>未開始</x:v>
      </x:c>
      <x:c r="I69" s="48" t="str"/>
      <x:c r="J69" s="48" t="str"/>
      <x:c r="K69" s="48" t="str"/>
      <x:c r="L69" s="48" t="str"/>
      <x:c r="M69" s="70" t="str">
        <x:f>IF(AND(G69&lt;&gt;"",G69&lt;TODAY(),H69&lt;&gt;"已完成"),"逾期","")</x:f>
      </x:c>
    </x:row>
    <x:row r="70" ht="38" customHeight="1">
      <x:c r="A70" s="45" t="n">
        <x:v>65</x:v>
      </x:c>
      <x:c r="B70" s="48" t="str"/>
      <x:c r="C70" s="48" t="str"/>
      <x:c r="D70" s="48" t="str"/>
      <x:c r="E70" s="48" t="str"/>
      <x:c r="F70" s="54"/>
      <x:c r="G70" s="54"/>
      <x:c r="H70" s="48" t="str">
        <x:v>未開始</x:v>
      </x:c>
      <x:c r="I70" s="48" t="str"/>
      <x:c r="J70" s="48" t="str"/>
      <x:c r="K70" s="48" t="str"/>
      <x:c r="L70" s="48" t="str"/>
      <x:c r="M70" s="70" t="str">
        <x:f>IF(AND(G70&lt;&gt;"",G70&lt;TODAY(),H70&lt;&gt;"已完成"),"逾期","")</x:f>
      </x:c>
    </x:row>
    <x:row r="71" ht="38" customHeight="1">
      <x:c r="A71" s="45" t="n">
        <x:v>66</x:v>
      </x:c>
      <x:c r="B71" s="48" t="str"/>
      <x:c r="C71" s="48" t="str"/>
      <x:c r="D71" s="48" t="str"/>
      <x:c r="E71" s="48" t="str"/>
      <x:c r="F71" s="54"/>
      <x:c r="G71" s="54"/>
      <x:c r="H71" s="48" t="str">
        <x:v>未開始</x:v>
      </x:c>
      <x:c r="I71" s="48" t="str"/>
      <x:c r="J71" s="48" t="str"/>
      <x:c r="K71" s="48" t="str"/>
      <x:c r="L71" s="48" t="str"/>
      <x:c r="M71" s="70" t="str">
        <x:f>IF(AND(G71&lt;&gt;"",G71&lt;TODAY(),H71&lt;&gt;"已完成"),"逾期","")</x:f>
      </x:c>
    </x:row>
    <x:row r="72" ht="38" customHeight="1">
      <x:c r="A72" s="45" t="n">
        <x:v>67</x:v>
      </x:c>
      <x:c r="B72" s="48" t="str"/>
      <x:c r="C72" s="48" t="str"/>
      <x:c r="D72" s="48" t="str"/>
      <x:c r="E72" s="48" t="str"/>
      <x:c r="F72" s="54"/>
      <x:c r="G72" s="54"/>
      <x:c r="H72" s="48" t="str">
        <x:v>未開始</x:v>
      </x:c>
      <x:c r="I72" s="48" t="str"/>
      <x:c r="J72" s="48" t="str"/>
      <x:c r="K72" s="48" t="str"/>
      <x:c r="L72" s="48" t="str"/>
      <x:c r="M72" s="70" t="str">
        <x:f>IF(AND(G72&lt;&gt;"",G72&lt;TODAY(),H72&lt;&gt;"已完成"),"逾期","")</x:f>
      </x:c>
    </x:row>
    <x:row r="73" ht="38" customHeight="1">
      <x:c r="A73" s="45" t="n">
        <x:v>68</x:v>
      </x:c>
      <x:c r="B73" s="48" t="str"/>
      <x:c r="C73" s="48" t="str"/>
      <x:c r="D73" s="48" t="str"/>
      <x:c r="E73" s="48" t="str"/>
      <x:c r="F73" s="54"/>
      <x:c r="G73" s="54"/>
      <x:c r="H73" s="48" t="str">
        <x:v>未開始</x:v>
      </x:c>
      <x:c r="I73" s="48" t="str"/>
      <x:c r="J73" s="48" t="str"/>
      <x:c r="K73" s="48" t="str"/>
      <x:c r="L73" s="48" t="str"/>
      <x:c r="M73" s="70" t="str">
        <x:f>IF(AND(G73&lt;&gt;"",G73&lt;TODAY(),H73&lt;&gt;"已完成"),"逾期","")</x:f>
      </x:c>
    </x:row>
    <x:row r="74" ht="38" customHeight="1">
      <x:c r="A74" s="45" t="n">
        <x:v>69</x:v>
      </x:c>
      <x:c r="B74" s="48" t="str"/>
      <x:c r="C74" s="48" t="str"/>
      <x:c r="D74" s="48" t="str"/>
      <x:c r="E74" s="48" t="str"/>
      <x:c r="F74" s="54"/>
      <x:c r="G74" s="54"/>
      <x:c r="H74" s="48" t="str">
        <x:v>未開始</x:v>
      </x:c>
      <x:c r="I74" s="48" t="str"/>
      <x:c r="J74" s="48" t="str"/>
      <x:c r="K74" s="48" t="str"/>
      <x:c r="L74" s="48" t="str"/>
      <x:c r="M74" s="70" t="str">
        <x:f>IF(AND(G74&lt;&gt;"",G74&lt;TODAY(),H74&lt;&gt;"已完成"),"逾期","")</x:f>
      </x:c>
    </x:row>
    <x:row r="75" ht="38" customHeight="1">
      <x:c r="A75" s="45" t="n">
        <x:v>70</x:v>
      </x:c>
      <x:c r="B75" s="48" t="str"/>
      <x:c r="C75" s="48" t="str"/>
      <x:c r="D75" s="48" t="str"/>
      <x:c r="E75" s="48" t="str"/>
      <x:c r="F75" s="54"/>
      <x:c r="G75" s="54"/>
      <x:c r="H75" s="48" t="str">
        <x:v>未開始</x:v>
      </x:c>
      <x:c r="I75" s="48" t="str"/>
      <x:c r="J75" s="48" t="str"/>
      <x:c r="K75" s="48" t="str"/>
      <x:c r="L75" s="48" t="str"/>
      <x:c r="M75" s="70" t="str">
        <x:f>IF(AND(G75&lt;&gt;"",G75&lt;TODAY(),H75&lt;&gt;"已完成"),"逾期","")</x:f>
      </x:c>
    </x:row>
    <x:row r="76" ht="38" customHeight="1">
      <x:c r="A76" s="45" t="n">
        <x:v>71</x:v>
      </x:c>
      <x:c r="B76" s="48" t="str"/>
      <x:c r="C76" s="48" t="str"/>
      <x:c r="D76" s="48" t="str"/>
      <x:c r="E76" s="48" t="str"/>
      <x:c r="F76" s="54"/>
      <x:c r="G76" s="54"/>
      <x:c r="H76" s="48" t="str">
        <x:v>未開始</x:v>
      </x:c>
      <x:c r="I76" s="48" t="str"/>
      <x:c r="J76" s="48" t="str"/>
      <x:c r="K76" s="48" t="str"/>
      <x:c r="L76" s="48" t="str"/>
      <x:c r="M76" s="70" t="str">
        <x:f>IF(AND(G76&lt;&gt;"",G76&lt;TODAY(),H76&lt;&gt;"已完成"),"逾期","")</x:f>
      </x:c>
    </x:row>
    <x:row r="77" ht="38" customHeight="1">
      <x:c r="A77" s="45" t="n">
        <x:v>72</x:v>
      </x:c>
      <x:c r="B77" s="48" t="str"/>
      <x:c r="C77" s="48" t="str"/>
      <x:c r="D77" s="48" t="str"/>
      <x:c r="E77" s="48" t="str"/>
      <x:c r="F77" s="54"/>
      <x:c r="G77" s="54"/>
      <x:c r="H77" s="48" t="str">
        <x:v>未開始</x:v>
      </x:c>
      <x:c r="I77" s="48" t="str"/>
      <x:c r="J77" s="48" t="str"/>
      <x:c r="K77" s="48" t="str"/>
      <x:c r="L77" s="48" t="str"/>
      <x:c r="M77" s="70" t="str">
        <x:f>IF(AND(G77&lt;&gt;"",G77&lt;TODAY(),H77&lt;&gt;"已完成"),"逾期","")</x:f>
      </x:c>
    </x:row>
    <x:row r="78" ht="38" customHeight="1">
      <x:c r="A78" s="45" t="n">
        <x:v>73</x:v>
      </x:c>
      <x:c r="B78" s="48" t="str"/>
      <x:c r="C78" s="48" t="str"/>
      <x:c r="D78" s="48" t="str"/>
      <x:c r="E78" s="48" t="str"/>
      <x:c r="F78" s="54"/>
      <x:c r="G78" s="54"/>
      <x:c r="H78" s="48" t="str">
        <x:v>未開始</x:v>
      </x:c>
      <x:c r="I78" s="48" t="str"/>
      <x:c r="J78" s="48" t="str"/>
      <x:c r="K78" s="48" t="str"/>
      <x:c r="L78" s="48" t="str"/>
      <x:c r="M78" s="70" t="str">
        <x:f>IF(AND(G78&lt;&gt;"",G78&lt;TODAY(),H78&lt;&gt;"已完成"),"逾期","")</x:f>
      </x:c>
    </x:row>
    <x:row r="79" ht="38" customHeight="1">
      <x:c r="A79" s="45" t="n">
        <x:v>74</x:v>
      </x:c>
      <x:c r="B79" s="48" t="str"/>
      <x:c r="C79" s="48" t="str"/>
      <x:c r="D79" s="48" t="str"/>
      <x:c r="E79" s="48" t="str"/>
      <x:c r="F79" s="54"/>
      <x:c r="G79" s="54"/>
      <x:c r="H79" s="48" t="str">
        <x:v>未開始</x:v>
      </x:c>
      <x:c r="I79" s="48" t="str"/>
      <x:c r="J79" s="48" t="str"/>
      <x:c r="K79" s="48" t="str"/>
      <x:c r="L79" s="48" t="str"/>
      <x:c r="M79" s="70" t="str">
        <x:f>IF(AND(G79&lt;&gt;"",G79&lt;TODAY(),H79&lt;&gt;"已完成"),"逾期","")</x:f>
      </x:c>
    </x:row>
    <x:row r="80" ht="38" customHeight="1">
      <x:c r="A80" s="45" t="n">
        <x:v>75</x:v>
      </x:c>
      <x:c r="B80" s="48" t="str"/>
      <x:c r="C80" s="48" t="str"/>
      <x:c r="D80" s="48" t="str"/>
      <x:c r="E80" s="48" t="str"/>
      <x:c r="F80" s="54"/>
      <x:c r="G80" s="54"/>
      <x:c r="H80" s="48" t="str">
        <x:v>未開始</x:v>
      </x:c>
      <x:c r="I80" s="48" t="str"/>
      <x:c r="J80" s="48" t="str"/>
      <x:c r="K80" s="48" t="str"/>
      <x:c r="L80" s="48" t="str"/>
      <x:c r="M80" s="70" t="str">
        <x:f>IF(AND(G80&lt;&gt;"",G80&lt;TODAY(),H80&lt;&gt;"已完成"),"逾期","")</x:f>
      </x:c>
    </x:row>
    <x:row r="81" ht="38" customHeight="1">
      <x:c r="A81" s="45" t="n">
        <x:v>76</x:v>
      </x:c>
      <x:c r="B81" s="48" t="str"/>
      <x:c r="C81" s="48" t="str"/>
      <x:c r="D81" s="48" t="str"/>
      <x:c r="E81" s="48" t="str"/>
      <x:c r="F81" s="54"/>
      <x:c r="G81" s="54"/>
      <x:c r="H81" s="48" t="str">
        <x:v>未開始</x:v>
      </x:c>
      <x:c r="I81" s="48" t="str"/>
      <x:c r="J81" s="48" t="str"/>
      <x:c r="K81" s="48" t="str"/>
      <x:c r="L81" s="48" t="str"/>
      <x:c r="M81" s="70" t="str">
        <x:f>IF(AND(G81&lt;&gt;"",G81&lt;TODAY(),H81&lt;&gt;"已完成"),"逾期","")</x:f>
      </x:c>
    </x:row>
    <x:row r="82" ht="38" customHeight="1">
      <x:c r="A82" s="45" t="n">
        <x:v>77</x:v>
      </x:c>
      <x:c r="B82" s="48" t="str"/>
      <x:c r="C82" s="48" t="str"/>
      <x:c r="D82" s="48" t="str"/>
      <x:c r="E82" s="48" t="str"/>
      <x:c r="F82" s="54"/>
      <x:c r="G82" s="54"/>
      <x:c r="H82" s="48" t="str">
        <x:v>未開始</x:v>
      </x:c>
      <x:c r="I82" s="48" t="str"/>
      <x:c r="J82" s="48" t="str"/>
      <x:c r="K82" s="48" t="str"/>
      <x:c r="L82" s="48" t="str"/>
      <x:c r="M82" s="70" t="str">
        <x:f>IF(AND(G82&lt;&gt;"",G82&lt;TODAY(),H82&lt;&gt;"已完成"),"逾期","")</x:f>
      </x:c>
    </x:row>
    <x:row r="83" ht="38" customHeight="1">
      <x:c r="A83" s="45" t="n">
        <x:v>78</x:v>
      </x:c>
      <x:c r="B83" s="48" t="str"/>
      <x:c r="C83" s="48" t="str"/>
      <x:c r="D83" s="48" t="str"/>
      <x:c r="E83" s="48" t="str"/>
      <x:c r="F83" s="54"/>
      <x:c r="G83" s="54"/>
      <x:c r="H83" s="48" t="str">
        <x:v>未開始</x:v>
      </x:c>
      <x:c r="I83" s="48" t="str"/>
      <x:c r="J83" s="48" t="str"/>
      <x:c r="K83" s="48" t="str"/>
      <x:c r="L83" s="48" t="str"/>
      <x:c r="M83" s="70" t="str">
        <x:f>IF(AND(G83&lt;&gt;"",G83&lt;TODAY(),H83&lt;&gt;"已完成"),"逾期","")</x:f>
      </x:c>
    </x:row>
    <x:row r="84" ht="38" customHeight="1">
      <x:c r="A84" s="45" t="n">
        <x:v>79</x:v>
      </x:c>
      <x:c r="B84" s="48" t="str"/>
      <x:c r="C84" s="48" t="str"/>
      <x:c r="D84" s="48" t="str"/>
      <x:c r="E84" s="48" t="str"/>
      <x:c r="F84" s="54"/>
      <x:c r="G84" s="54"/>
      <x:c r="H84" s="48" t="str">
        <x:v>未開始</x:v>
      </x:c>
      <x:c r="I84" s="48" t="str"/>
      <x:c r="J84" s="48" t="str"/>
      <x:c r="K84" s="48" t="str"/>
      <x:c r="L84" s="48" t="str"/>
      <x:c r="M84" s="70" t="str">
        <x:f>IF(AND(G84&lt;&gt;"",G84&lt;TODAY(),H84&lt;&gt;"已完成"),"逾期","")</x:f>
      </x:c>
    </x:row>
    <x:row r="85" ht="38" customHeight="1">
      <x:c r="A85" s="61" t="n">
        <x:v>80</x:v>
      </x:c>
      <x:c r="B85" s="62" t="str"/>
      <x:c r="C85" s="62" t="str"/>
      <x:c r="D85" s="62" t="str"/>
      <x:c r="E85" s="62" t="str"/>
      <x:c r="F85" s="63"/>
      <x:c r="G85" s="63"/>
      <x:c r="H85" s="62" t="str">
        <x:v>未開始</x:v>
      </x:c>
      <x:c r="I85" s="62" t="str"/>
      <x:c r="J85" s="62" t="str"/>
      <x:c r="K85" s="62" t="str"/>
      <x:c r="L85" s="62" t="str"/>
      <x:c r="M85" s="71" t="str">
        <x:f>IF(AND(G85&lt;&gt;"",G85&lt;TODAY(),H85&lt;&gt;"已完成"),"逾期","")</x:f>
      </x:c>
    </x:row>
  </x:sheetData>
  <x:conditionalFormatting sqref="M6:M85">
    <x:cfRule type="containsText" dxfId="6" priority="1" operator="containsText" text="逾期"/>
  </x:conditionalFormatting>
  <x:conditionalFormatting sqref="H6:H85">
    <x:cfRule type="containsText" dxfId="7" priority="2" operator="containsText" text="已完成"/>
    <x:cfRule type="containsText" dxfId="8" priority="3" operator="containsText" text="暫緩"/>
  </x:conditionalFormatting>
  <x:dataValidations count="1">
    <x:dataValidation type="list" sqref="H6:H85">
      <x:formula1>"未開始,進行中,待檢視,已完成,暫緩"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f23ffc85c2439c"/>
  </x:tableParts>
</x:worksheet>
</file>

<file path=xl/worksheets/sheet5.xml><?xml version="1.0" encoding="utf-8"?>
<x:worksheet xmlns:x="http://schemas.openxmlformats.org/spreadsheetml/2006/main">
  <x:sheetPr>
    <x:tabColor rgb="FF6B5A8E"/>
  </x:sheetPr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2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P1–S6 共同能力進階參考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>
      <x:c r="A5" s="13" t="str">
        <x:v>學段</x:v>
      </x:c>
      <x:c r="B5" s="28" t="str">
        <x:v>跨學科閱讀</x:v>
      </x:c>
      <x:c r="C5" s="28" t="str">
        <x:v>證據推理</x:v>
      </x:c>
      <x:c r="D5" s="28" t="str">
        <x:v>解難與建模</x:v>
      </x:c>
      <x:c r="E5" s="28" t="str">
        <x:v>AI 與數碼素養</x:v>
      </x:c>
      <x:c r="F5" s="14" t="str">
        <x:v>學生作品應呈現</x:v>
      </x:c>
    </x:row>
    <x:row r="6" ht="76" customHeight="1">
      <x:c r="A6" s="74" t="str">
        <x:v>P1–P3</x:v>
      </x:c>
      <x:c r="B6" s="32" t="str">
        <x:v>找出明示資料，連結文字與圖像</x:v>
      </x:c>
      <x:c r="C6" s="32" t="str">
        <x:v>用觀察或簡單資料說明答案</x:v>
      </x:c>
      <x:c r="D6" s="32" t="str">
        <x:v>依步驟處理熟悉問題並檢查結果</x:v>
      </x:c>
      <x:c r="E6" s="32" t="str">
        <x:v>在教師引導下辨識工具產出與自己的想法</x:v>
      </x:c>
      <x:c r="F6" s="34" t="str">
        <x:v>資料來源、操作步驟、簡短解釋</x:v>
      </x:c>
    </x:row>
    <x:row r="7" ht="76" customHeight="1">
      <x:c r="A7" s="74" t="str">
        <x:v>P4–P6</x:v>
      </x:c>
      <x:c r="B7" s="32" t="str">
        <x:v>比較兩個來源，整合文字與圖表</x:v>
      </x:c>
      <x:c r="C7" s="32" t="str">
        <x:v>以數據支持推論，辨識簡單限制</x:v>
      </x:c>
      <x:c r="D7" s="32" t="str">
        <x:v>選擇方法，測試答案是否合理</x:v>
      </x:c>
      <x:c r="E7" s="32" t="str">
        <x:v>記錄工具使用，核對至少一個可靠來源</x:v>
      </x:c>
      <x:c r="F7" s="34" t="str">
        <x:v>證據、推理過程、修正紀錄</x:v>
      </x:c>
    </x:row>
    <x:row r="8" ht="76" customHeight="1">
      <x:c r="A8" s="74" t="str">
        <x:v>S1–S3</x:v>
      </x:c>
      <x:c r="B8" s="32" t="str">
        <x:v>整合多來源資料，辨識觀點與偏差</x:v>
      </x:c>
      <x:c r="C8" s="32" t="str">
        <x:v>評估證據是否足以支持結論</x:v>
      </x:c>
      <x:c r="D8" s="32" t="str">
        <x:v>建立模型，測試方案並解釋限制</x:v>
      </x:c>
      <x:c r="E8" s="32" t="str">
        <x:v>比較 AI 輸出與原始來源，保留提示和版本</x:v>
      </x:c>
      <x:c r="F8" s="34" t="str">
        <x:v>來源評估、方法選擇、限制說明</x:v>
      </x:c>
    </x:row>
    <x:row r="9" ht="76" customHeight="1">
      <x:c r="A9" s="75" t="str">
        <x:v>S4–S6</x:v>
      </x:c>
      <x:c r="B9" s="37" t="str">
        <x:v>評估複雜文本與資料的可信度</x:v>
      </x:c>
      <x:c r="C9" s="37" t="str">
        <x:v>處理不確定性，提出可反駁的論證</x:v>
      </x:c>
      <x:c r="D9" s="37" t="str">
        <x:v>在真實情境中權衡方案並修正模型</x:v>
      </x:c>
      <x:c r="E9" s="37" t="str">
        <x:v>公開 AI 使用範圍，獨立核實及負責任引用</x:v>
      </x:c>
      <x:c r="F9" s="39" t="str">
        <x:v>完整證據鏈、反思、改進版本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A8791"/>
  </x:sheetPr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52" hidden="0" customWidth="1"/>
    <x:col min="4" max="4" width="24" hidden="0" customWidth="1"/>
  </x:cols>
  <x:sheetData>
    <x:row r="1">
      <x:c r="A1" s="2"/>
      <x:c r="B1" s="2"/>
      <x:c r="C1" s="2"/>
      <x:c r="D1" s="2"/>
    </x:row>
    <x:row r="2">
      <x:c r="A2" s="3" t="str">
        <x:v>使用說明與資料來源</x:v>
      </x:c>
      <x:c r="B2" s="2"/>
      <x:c r="C2" s="2"/>
      <x:c r="D2" s="2"/>
    </x:row>
    <x:row r="3">
      <x:c r="A3" s="2"/>
      <x:c r="B3" s="2"/>
      <x:c r="C3" s="2"/>
      <x:c r="D3" s="2"/>
    </x:row>
    <x:row r="4">
      <x:c r="A4" s="2"/>
      <x:c r="B4" s="2"/>
      <x:c r="C4" s="2"/>
      <x:c r="D4" s="2"/>
    </x:row>
    <x:row r="5">
      <x:c r="A5" s="13" t="str">
        <x:v>步驟</x:v>
      </x:c>
      <x:c r="B5" s="28" t="str">
        <x:v>負責人</x:v>
      </x:c>
      <x:c r="C5" s="28" t="str">
        <x:v>做法</x:v>
      </x:c>
      <x:c r="D5" s="14" t="str">
        <x:v>完成證據</x:v>
      </x:c>
    </x:row>
    <x:row r="6" ht="48" customHeight="1">
      <x:c r="A6" s="31" t="str">
        <x:v>1. 建立基線</x:v>
      </x:c>
      <x:c r="B6" s="32" t="str">
        <x:v>科組主管</x:v>
      </x:c>
      <x:c r="C6" s="32" t="str">
        <x:v>在「課程審計」逐項判斷落實狀態並附證據位置</x:v>
      </x:c>
      <x:c r="D6" s="34" t="str">
        <x:v>每項有狀態及證據</x:v>
      </x:c>
    </x:row>
    <x:row r="7" ht="48" customHeight="1">
      <x:c r="A7" s="31" t="str">
        <x:v>2. 抽樣作品</x:v>
      </x:c>
      <x:c r="B7" s="32" t="str">
        <x:v>年級／科組團隊</x:v>
      </x:c>
      <x:c r="C7" s="32" t="str">
        <x:v>在「評核與作品」登記代表性任務及學生作品</x:v>
      </x:c>
      <x:c r="D7" s="34" t="str">
        <x:v>完成共同評閱</x:v>
      </x:c>
    </x:row>
    <x:row r="8" ht="48" customHeight="1">
      <x:c r="A8" s="31" t="str">
        <x:v>3. 確認缺口</x:v>
      </x:c>
      <x:c r="B8" s="32" t="str">
        <x:v>課程領導小組</x:v>
      </x:c>
      <x:c r="C8" s="32" t="str">
        <x:v>以總覽檢視高優先級項目及跨年級斷層</x:v>
      </x:c>
      <x:c r="D8" s="34" t="str">
        <x:v>確認首輪改進重點</x:v>
      </x:c>
    </x:row>
    <x:row r="9" ht="48" customHeight="1">
      <x:c r="A9" s="31" t="str">
        <x:v>4. 安排行動</x:v>
      </x:c>
      <x:c r="B9" s="32" t="str">
        <x:v>行政牽頭人</x:v>
      </x:c>
      <x:c r="C9" s="32" t="str">
        <x:v>在「行動計畫」填寫負責人、日期、指標和目標</x:v>
      </x:c>
      <x:c r="D9" s="34" t="str">
        <x:v>每項有時限與成功證據</x:v>
      </x:c>
    </x:row>
    <x:row r="10" ht="48" customHeight="1">
      <x:c r="A10" s="36" t="str">
        <x:v>5. 再次檢視</x:v>
      </x:c>
      <x:c r="B10" s="37" t="str">
        <x:v>行政會議</x:v>
      </x:c>
      <x:c r="C10" s="37" t="str">
        <x:v>按月跟進行動，學期末以新學生作品重新判斷</x:v>
      </x:c>
      <x:c r="D10" s="39" t="str">
        <x:v>狀態及作品證據更新</x:v>
      </x:c>
    </x:row>
    <x:row r="11">
      <x:c r="A11" s="2"/>
      <x:c r="B11" s="2"/>
      <x:c r="C11" s="2"/>
      <x:c r="D11" s="2"/>
    </x:row>
    <x:row r="12">
      <x:c r="A12" s="2"/>
      <x:c r="B12" s="2"/>
      <x:c r="C12" s="2"/>
      <x:c r="D12" s="2"/>
    </x:row>
    <x:row r="13">
      <x:c r="A13" s="13" t="str">
        <x:v>狀態</x:v>
      </x:c>
      <x:c r="B13" s="28" t="str">
        <x:v>分數</x:v>
      </x:c>
      <x:c r="C13" s="14" t="str">
        <x:v>判斷準則</x:v>
      </x:c>
      <x:c r="D13" s="2"/>
    </x:row>
    <x:row r="14">
      <x:c r="A14" s="15" t="str">
        <x:v>未檢視</x:v>
      </x:c>
      <x:c r="B14" s="2" t="str"/>
      <x:c r="C14" s="16" t="str">
        <x:v>尚未查看課程文件、任務、評核或學生作品</x:v>
      </x:c>
      <x:c r="D14" s="2"/>
    </x:row>
    <x:row r="15">
      <x:c r="A15" s="15" t="str">
        <x:v>未出現</x:v>
      </x:c>
      <x:c r="B15" s="2" t="n">
        <x:v>0</x:v>
      </x:c>
      <x:c r="C15" s="16" t="str">
        <x:v>沒有可見證據</x:v>
      </x:c>
      <x:c r="D15" s="2"/>
    </x:row>
    <x:row r="16">
      <x:c r="A16" s="15" t="str">
        <x:v>部分出現</x:v>
      </x:c>
      <x:c r="B16" s="2" t="n">
        <x:v>1</x:v>
      </x:c>
      <x:c r="C16" s="16" t="str">
        <x:v>只在少數單元、班級或教師實踐中出現</x:v>
      </x:c>
      <x:c r="D16" s="2"/>
    </x:row>
    <x:row r="17">
      <x:c r="A17" s="17" t="str">
        <x:v>穩定出現</x:v>
      </x:c>
      <x:c r="B17" s="29" t="n">
        <x:v>2</x:v>
      </x:c>
      <x:c r="C17" s="18" t="str">
        <x:v>跨單元或班級持續出現，並有學生作品支持</x:v>
      </x:c>
      <x:c r="D17" s="2"/>
    </x:row>
    <x:row r="18">
      <x:c r="A18" s="2"/>
      <x:c r="B18" s="2"/>
      <x:c r="C18" s="2"/>
      <x:c r="D18" s="2"/>
    </x:row>
    <x:row r="19">
      <x:c r="A19" s="2"/>
      <x:c r="B19" s="2"/>
      <x:c r="C19" s="2"/>
      <x:c r="D19" s="2"/>
    </x:row>
    <x:row r="20">
      <x:c r="A20" s="13" t="str">
        <x:v>資料來源</x:v>
      </x:c>
      <x:c r="B20" s="14" t="str">
        <x:v>連結</x:v>
      </x:c>
      <x:c r="C20" s="2"/>
      <x:c r="D20" s="2"/>
    </x:row>
    <x:row r="21" ht="44" customHeight="1">
      <x:c r="A21" s="31" t="str">
        <x:v>OECD PISA 2025 Results Volume I: Macau (China) Country Note，2026-09-08</x:v>
      </x:c>
      <x:c r="B21" s="34" t="str">
        <x:v>https://www.oecd.org/en/publications/pisa-2025-results-volume-i-country-notes_2d4ff9ea-en/macau-china_9815d707-en.html</x:v>
      </x:c>
      <x:c r="C21" s="2"/>
      <x:c r="D21" s="2"/>
    </x:row>
    <x:row r="22" ht="44" customHeight="1">
      <x:c r="A22" s="31" t="str">
        <x:v>OECD Education GPS: Macao (China)，查閱 2026-09-11</x:v>
      </x:c>
      <x:c r="B22" s="34" t="str">
        <x:v>https://gpseducation.oecd.org/CountryProfile?plotter=h5&amp;primaryCountry=MAC&amp;topic=PI&amp;treshold=10</x:v>
      </x:c>
      <x:c r="C22" s="2"/>
      <x:c r="D22" s="2"/>
    </x:row>
    <x:row r="23" ht="44" customHeight="1">
      <x:c r="A23" s="31" t="str">
        <x:v>澳門教青局 PISA 2025 新聞稿，2026-09-08</x:v>
      </x:c>
      <x:c r="B23" s="34" t="str">
        <x:v>https://www.gov.mo/zh-hant/news/1264691/</x:v>
      </x:c>
      <x:c r="C23" s="2"/>
      <x:c r="D23" s="2"/>
    </x:row>
    <x:row r="24" ht="44" customHeight="1">
      <x:c r="A24" s="36" t="str">
        <x:v>本專案 PISA 2025 澳門表現與校本課程改革分析報告</x:v>
      </x:c>
      <x:c r="B24" s="39" t="str">
        <x:v>PISA_2025_澳門表現與校本課程改革分析報告.docx</x:v>
      </x:c>
      <x:c r="C24" s="2"/>
      <x:c r="D24" s="2"/>
    </x:row>
  </x:sheetData>
  <x:pageMargins left="0.7" right="0.7" top="0.75" bottom="0.75" header="0.3" footer="0.3"/>
</x:worksheet>
</file>